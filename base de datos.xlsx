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 documentos\datos para proyecto\"/>
    </mc:Choice>
  </mc:AlternateContent>
  <xr:revisionPtr revIDLastSave="0" documentId="13_ncr:1_{8AAA1777-06D4-4AA2-A258-385AFB4B7993}" xr6:coauthVersionLast="47" xr6:coauthVersionMax="47" xr10:uidLastSave="{00000000-0000-0000-0000-000000000000}"/>
  <bookViews>
    <workbookView xWindow="28680" yWindow="-120" windowWidth="29040" windowHeight="15840" xr2:uid="{E4DCFC65-8408-483D-8E2C-E453DB127DD9}"/>
  </bookViews>
  <sheets>
    <sheet name="mercancia" sheetId="1" r:id="rId1"/>
    <sheet name="Hoja2" sheetId="5" r:id="rId2"/>
    <sheet name="Gastos_Administrativos" sheetId="2" r:id="rId3"/>
    <sheet name="Contabilizacion" sheetId="3" r:id="rId4"/>
    <sheet name="Plan_de_Cuenta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E34" i="1" s="1" a="1"/>
  <c r="E34" i="1" s="1"/>
  <c r="R7" i="1"/>
  <c r="R8" i="1"/>
  <c r="R9" i="1"/>
  <c r="E45" i="1" s="1" a="1"/>
  <c r="E45" i="1" s="1"/>
  <c r="R10" i="1"/>
  <c r="R11" i="1"/>
  <c r="R12" i="1"/>
  <c r="R13" i="1"/>
  <c r="R14" i="1"/>
  <c r="R15" i="1"/>
  <c r="R16" i="1"/>
  <c r="E20" i="1" a="1"/>
  <c r="E20" i="1" s="1"/>
  <c r="E25" i="1" a="1"/>
  <c r="E25" i="1" s="1"/>
  <c r="E8" i="1" a="1"/>
  <c r="E8" i="1" s="1"/>
  <c r="E28" i="1" a="1"/>
  <c r="E28" i="1" s="1"/>
  <c r="E71" i="1" a="1"/>
  <c r="E71" i="1" s="1"/>
  <c r="E96" i="1" a="1"/>
  <c r="E96" i="1" s="1"/>
  <c r="D503" i="3"/>
  <c r="E503" i="3"/>
  <c r="D505" i="3"/>
  <c r="E505" i="3"/>
  <c r="D506" i="3"/>
  <c r="E506" i="3"/>
  <c r="D507" i="3"/>
  <c r="E507" i="3"/>
  <c r="D509" i="3"/>
  <c r="E509" i="3"/>
  <c r="D511" i="3"/>
  <c r="E511" i="3"/>
  <c r="D512" i="3"/>
  <c r="E512" i="3"/>
  <c r="D513" i="3"/>
  <c r="E513" i="3"/>
  <c r="D515" i="3"/>
  <c r="E515" i="3"/>
  <c r="D517" i="3"/>
  <c r="E517" i="3"/>
  <c r="D518" i="3"/>
  <c r="E518" i="3"/>
  <c r="D519" i="3"/>
  <c r="E519" i="3"/>
  <c r="D521" i="3"/>
  <c r="E521" i="3"/>
  <c r="D523" i="3"/>
  <c r="E523" i="3"/>
  <c r="D524" i="3"/>
  <c r="E524" i="3"/>
  <c r="D525" i="3"/>
  <c r="E525" i="3"/>
  <c r="D527" i="3"/>
  <c r="E527" i="3"/>
  <c r="D529" i="3"/>
  <c r="E529" i="3"/>
  <c r="D530" i="3"/>
  <c r="E530" i="3"/>
  <c r="D531" i="3"/>
  <c r="E531" i="3"/>
  <c r="D533" i="3"/>
  <c r="E533" i="3"/>
  <c r="D535" i="3"/>
  <c r="E535" i="3"/>
  <c r="D536" i="3"/>
  <c r="E536" i="3"/>
  <c r="D537" i="3"/>
  <c r="E537" i="3"/>
  <c r="D539" i="3"/>
  <c r="E539" i="3"/>
  <c r="D541" i="3"/>
  <c r="E541" i="3"/>
  <c r="D542" i="3"/>
  <c r="E542" i="3"/>
  <c r="D543" i="3"/>
  <c r="E543" i="3"/>
  <c r="D545" i="3"/>
  <c r="E545" i="3"/>
  <c r="D547" i="3"/>
  <c r="E547" i="3"/>
  <c r="D548" i="3"/>
  <c r="E548" i="3"/>
  <c r="D549" i="3"/>
  <c r="E549" i="3"/>
  <c r="D551" i="3"/>
  <c r="E551" i="3"/>
  <c r="D553" i="3"/>
  <c r="E553" i="3"/>
  <c r="D554" i="3"/>
  <c r="E554" i="3"/>
  <c r="D555" i="3"/>
  <c r="E555" i="3"/>
  <c r="D557" i="3"/>
  <c r="E557" i="3"/>
  <c r="D559" i="3"/>
  <c r="E559" i="3"/>
  <c r="D560" i="3"/>
  <c r="E560" i="3"/>
  <c r="D561" i="3"/>
  <c r="E561" i="3"/>
  <c r="D563" i="3"/>
  <c r="E563" i="3"/>
  <c r="D565" i="3"/>
  <c r="E565" i="3"/>
  <c r="D566" i="3"/>
  <c r="E566" i="3"/>
  <c r="D567" i="3"/>
  <c r="E567" i="3"/>
  <c r="D569" i="3"/>
  <c r="E569" i="3"/>
  <c r="D571" i="3"/>
  <c r="E571" i="3"/>
  <c r="D572" i="3"/>
  <c r="E572" i="3"/>
  <c r="D573" i="3"/>
  <c r="E573" i="3"/>
  <c r="D575" i="3"/>
  <c r="E575" i="3"/>
  <c r="D577" i="3"/>
  <c r="E577" i="3"/>
  <c r="D578" i="3"/>
  <c r="E578" i="3"/>
  <c r="D579" i="3"/>
  <c r="E579" i="3"/>
  <c r="D581" i="3"/>
  <c r="E581" i="3"/>
  <c r="D583" i="3"/>
  <c r="E583" i="3"/>
  <c r="D584" i="3"/>
  <c r="E584" i="3"/>
  <c r="D585" i="3"/>
  <c r="E585" i="3"/>
  <c r="D587" i="3"/>
  <c r="E587" i="3"/>
  <c r="D589" i="3"/>
  <c r="E589" i="3"/>
  <c r="D590" i="3"/>
  <c r="E590" i="3"/>
  <c r="D591" i="3"/>
  <c r="E591" i="3"/>
  <c r="D593" i="3"/>
  <c r="E593" i="3"/>
  <c r="D595" i="3"/>
  <c r="E595" i="3"/>
  <c r="D596" i="3"/>
  <c r="E596" i="3"/>
  <c r="D597" i="3"/>
  <c r="E597" i="3"/>
  <c r="D599" i="3"/>
  <c r="E599" i="3"/>
  <c r="D601" i="3"/>
  <c r="E601" i="3"/>
  <c r="D602" i="3"/>
  <c r="E602" i="3"/>
  <c r="D603" i="3"/>
  <c r="E603" i="3"/>
  <c r="D605" i="3"/>
  <c r="E605" i="3"/>
  <c r="D607" i="3"/>
  <c r="E607" i="3"/>
  <c r="D608" i="3"/>
  <c r="E608" i="3"/>
  <c r="D609" i="3"/>
  <c r="E609" i="3"/>
  <c r="D611" i="3"/>
  <c r="E611" i="3"/>
  <c r="D613" i="3"/>
  <c r="E613" i="3"/>
  <c r="D614" i="3"/>
  <c r="E614" i="3"/>
  <c r="D615" i="3"/>
  <c r="E615" i="3"/>
  <c r="D617" i="3"/>
  <c r="E617" i="3"/>
  <c r="D619" i="3"/>
  <c r="E619" i="3"/>
  <c r="D620" i="3"/>
  <c r="E620" i="3"/>
  <c r="D621" i="3"/>
  <c r="E621" i="3"/>
  <c r="D623" i="3"/>
  <c r="E623" i="3"/>
  <c r="D625" i="3"/>
  <c r="E625" i="3"/>
  <c r="D626" i="3"/>
  <c r="E626" i="3"/>
  <c r="D627" i="3"/>
  <c r="E627" i="3"/>
  <c r="D629" i="3"/>
  <c r="E629" i="3"/>
  <c r="D631" i="3"/>
  <c r="E631" i="3"/>
  <c r="D632" i="3"/>
  <c r="E632" i="3"/>
  <c r="D633" i="3"/>
  <c r="E633" i="3"/>
  <c r="D635" i="3"/>
  <c r="E635" i="3"/>
  <c r="D637" i="3"/>
  <c r="E637" i="3"/>
  <c r="D638" i="3"/>
  <c r="E638" i="3"/>
  <c r="D639" i="3"/>
  <c r="E639" i="3"/>
  <c r="D641" i="3"/>
  <c r="E641" i="3"/>
  <c r="D643" i="3"/>
  <c r="E643" i="3"/>
  <c r="D644" i="3"/>
  <c r="E644" i="3"/>
  <c r="D645" i="3"/>
  <c r="E645" i="3"/>
  <c r="D647" i="3"/>
  <c r="E647" i="3"/>
  <c r="D649" i="3"/>
  <c r="E649" i="3"/>
  <c r="D650" i="3"/>
  <c r="E650" i="3"/>
  <c r="D651" i="3"/>
  <c r="E651" i="3"/>
  <c r="D653" i="3"/>
  <c r="E653" i="3"/>
  <c r="D655" i="3"/>
  <c r="E655" i="3"/>
  <c r="D656" i="3"/>
  <c r="E656" i="3"/>
  <c r="D657" i="3"/>
  <c r="E657" i="3"/>
  <c r="D659" i="3"/>
  <c r="E659" i="3"/>
  <c r="D661" i="3"/>
  <c r="E661" i="3"/>
  <c r="D662" i="3"/>
  <c r="E662" i="3"/>
  <c r="D663" i="3"/>
  <c r="E663" i="3"/>
  <c r="D665" i="3"/>
  <c r="E665" i="3"/>
  <c r="D667" i="3"/>
  <c r="E667" i="3"/>
  <c r="D668" i="3"/>
  <c r="E668" i="3"/>
  <c r="D669" i="3"/>
  <c r="E669" i="3"/>
  <c r="D671" i="3"/>
  <c r="E671" i="3"/>
  <c r="D673" i="3"/>
  <c r="E673" i="3"/>
  <c r="D674" i="3"/>
  <c r="E674" i="3"/>
  <c r="D675" i="3"/>
  <c r="E675" i="3"/>
  <c r="D677" i="3"/>
  <c r="E677" i="3"/>
  <c r="D679" i="3"/>
  <c r="E679" i="3"/>
  <c r="D680" i="3"/>
  <c r="E680" i="3"/>
  <c r="D681" i="3"/>
  <c r="E681" i="3"/>
  <c r="D683" i="3"/>
  <c r="E683" i="3"/>
  <c r="D685" i="3"/>
  <c r="E685" i="3"/>
  <c r="D686" i="3"/>
  <c r="E686" i="3"/>
  <c r="D687" i="3"/>
  <c r="E687" i="3"/>
  <c r="D689" i="3"/>
  <c r="E689" i="3"/>
  <c r="D691" i="3"/>
  <c r="E691" i="3"/>
  <c r="D692" i="3"/>
  <c r="E692" i="3"/>
  <c r="D693" i="3"/>
  <c r="E693" i="3"/>
  <c r="D695" i="3"/>
  <c r="E695" i="3"/>
  <c r="D697" i="3"/>
  <c r="E697" i="3"/>
  <c r="D698" i="3"/>
  <c r="E698" i="3"/>
  <c r="D699" i="3"/>
  <c r="E699" i="3"/>
  <c r="D701" i="3"/>
  <c r="E701" i="3"/>
  <c r="D703" i="3"/>
  <c r="E703" i="3"/>
  <c r="D704" i="3"/>
  <c r="E704" i="3"/>
  <c r="D705" i="3"/>
  <c r="E705" i="3"/>
  <c r="D707" i="3"/>
  <c r="E707" i="3"/>
  <c r="D709" i="3"/>
  <c r="E709" i="3"/>
  <c r="D710" i="3"/>
  <c r="E710" i="3"/>
  <c r="D711" i="3"/>
  <c r="E711" i="3"/>
  <c r="D713" i="3"/>
  <c r="E713" i="3"/>
  <c r="D715" i="3"/>
  <c r="E715" i="3"/>
  <c r="D716" i="3"/>
  <c r="E716" i="3"/>
  <c r="D717" i="3"/>
  <c r="E717" i="3"/>
  <c r="D719" i="3"/>
  <c r="E719" i="3"/>
  <c r="D721" i="3"/>
  <c r="E721" i="3"/>
  <c r="D722" i="3"/>
  <c r="E722" i="3"/>
  <c r="D723" i="3"/>
  <c r="E723" i="3"/>
  <c r="D725" i="3"/>
  <c r="E725" i="3"/>
  <c r="D727" i="3"/>
  <c r="E727" i="3"/>
  <c r="D728" i="3"/>
  <c r="E728" i="3"/>
  <c r="D729" i="3"/>
  <c r="E729" i="3"/>
  <c r="D731" i="3"/>
  <c r="E731" i="3"/>
  <c r="D733" i="3"/>
  <c r="E733" i="3"/>
  <c r="D734" i="3"/>
  <c r="E734" i="3"/>
  <c r="D735" i="3"/>
  <c r="E735" i="3"/>
  <c r="D737" i="3"/>
  <c r="E737" i="3"/>
  <c r="D739" i="3"/>
  <c r="E739" i="3"/>
  <c r="D740" i="3"/>
  <c r="E740" i="3"/>
  <c r="D741" i="3"/>
  <c r="E741" i="3"/>
  <c r="D743" i="3"/>
  <c r="E743" i="3"/>
  <c r="D745" i="3"/>
  <c r="E745" i="3"/>
  <c r="D746" i="3"/>
  <c r="E746" i="3"/>
  <c r="D747" i="3"/>
  <c r="E747" i="3"/>
  <c r="D749" i="3"/>
  <c r="E749" i="3"/>
  <c r="D751" i="3"/>
  <c r="E751" i="3"/>
  <c r="D752" i="3"/>
  <c r="E752" i="3"/>
  <c r="D753" i="3"/>
  <c r="E753" i="3"/>
  <c r="D755" i="3"/>
  <c r="E755" i="3"/>
  <c r="D757" i="3"/>
  <c r="E757" i="3"/>
  <c r="D758" i="3"/>
  <c r="E758" i="3"/>
  <c r="D759" i="3"/>
  <c r="E759" i="3"/>
  <c r="D761" i="3"/>
  <c r="E761" i="3"/>
  <c r="D763" i="3"/>
  <c r="E763" i="3"/>
  <c r="D764" i="3"/>
  <c r="E764" i="3"/>
  <c r="D765" i="3"/>
  <c r="E765" i="3"/>
  <c r="D767" i="3"/>
  <c r="E767" i="3"/>
  <c r="D769" i="3"/>
  <c r="E769" i="3"/>
  <c r="D770" i="3"/>
  <c r="E770" i="3"/>
  <c r="D771" i="3"/>
  <c r="E771" i="3"/>
  <c r="D773" i="3"/>
  <c r="E773" i="3"/>
  <c r="D775" i="3"/>
  <c r="E775" i="3"/>
  <c r="D776" i="3"/>
  <c r="E776" i="3"/>
  <c r="D777" i="3"/>
  <c r="E777" i="3"/>
  <c r="D779" i="3"/>
  <c r="E779" i="3"/>
  <c r="D781" i="3"/>
  <c r="E781" i="3"/>
  <c r="D782" i="3"/>
  <c r="E782" i="3"/>
  <c r="D783" i="3"/>
  <c r="E783" i="3"/>
  <c r="D785" i="3"/>
  <c r="E785" i="3"/>
  <c r="D787" i="3"/>
  <c r="E787" i="3"/>
  <c r="D788" i="3"/>
  <c r="E788" i="3"/>
  <c r="D789" i="3"/>
  <c r="E789" i="3"/>
  <c r="D791" i="3"/>
  <c r="E791" i="3"/>
  <c r="D793" i="3"/>
  <c r="E793" i="3"/>
  <c r="D794" i="3"/>
  <c r="E794" i="3"/>
  <c r="D795" i="3"/>
  <c r="E795" i="3"/>
  <c r="D797" i="3"/>
  <c r="E797" i="3"/>
  <c r="D799" i="3"/>
  <c r="E799" i="3"/>
  <c r="D800" i="3"/>
  <c r="E800" i="3"/>
  <c r="D801" i="3"/>
  <c r="E801" i="3"/>
  <c r="D2" i="3"/>
  <c r="E2" i="3"/>
  <c r="D3" i="3"/>
  <c r="E3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10" i="3"/>
  <c r="E110" i="3"/>
  <c r="D111" i="3"/>
  <c r="E111" i="3"/>
  <c r="D112" i="3"/>
  <c r="E112" i="3"/>
  <c r="D113" i="3"/>
  <c r="E113" i="3"/>
  <c r="D114" i="3"/>
  <c r="E114" i="3"/>
  <c r="D115" i="3"/>
  <c r="E115" i="3"/>
  <c r="D116" i="3"/>
  <c r="E116" i="3"/>
  <c r="D117" i="3"/>
  <c r="E117" i="3"/>
  <c r="D118" i="3"/>
  <c r="E118" i="3"/>
  <c r="D119" i="3"/>
  <c r="E119" i="3"/>
  <c r="D120" i="3"/>
  <c r="E120" i="3"/>
  <c r="D121" i="3"/>
  <c r="E121" i="3"/>
  <c r="D122" i="3"/>
  <c r="E122" i="3"/>
  <c r="D123" i="3"/>
  <c r="E123" i="3"/>
  <c r="D124" i="3"/>
  <c r="E124" i="3"/>
  <c r="D125" i="3"/>
  <c r="E125" i="3"/>
  <c r="D126" i="3"/>
  <c r="E126" i="3"/>
  <c r="D127" i="3"/>
  <c r="E127" i="3"/>
  <c r="D128" i="3"/>
  <c r="E128" i="3"/>
  <c r="D129" i="3"/>
  <c r="E129" i="3"/>
  <c r="D130" i="3"/>
  <c r="E130" i="3"/>
  <c r="D131" i="3"/>
  <c r="E131" i="3"/>
  <c r="D132" i="3"/>
  <c r="E132" i="3"/>
  <c r="D133" i="3"/>
  <c r="E133" i="3"/>
  <c r="D134" i="3"/>
  <c r="E134" i="3"/>
  <c r="D135" i="3"/>
  <c r="E135" i="3"/>
  <c r="D136" i="3"/>
  <c r="E136" i="3"/>
  <c r="D137" i="3"/>
  <c r="E137" i="3"/>
  <c r="D138" i="3"/>
  <c r="E138" i="3"/>
  <c r="D139" i="3"/>
  <c r="E139" i="3"/>
  <c r="D140" i="3"/>
  <c r="E140" i="3"/>
  <c r="D141" i="3"/>
  <c r="E141" i="3"/>
  <c r="D142" i="3"/>
  <c r="E142" i="3"/>
  <c r="D143" i="3"/>
  <c r="E143" i="3"/>
  <c r="D144" i="3"/>
  <c r="E144" i="3"/>
  <c r="D145" i="3"/>
  <c r="E145" i="3"/>
  <c r="D146" i="3"/>
  <c r="E146" i="3"/>
  <c r="D147" i="3"/>
  <c r="E147" i="3"/>
  <c r="D148" i="3"/>
  <c r="E148" i="3"/>
  <c r="D149" i="3"/>
  <c r="E149" i="3"/>
  <c r="D150" i="3"/>
  <c r="E150" i="3"/>
  <c r="D151" i="3"/>
  <c r="E151" i="3"/>
  <c r="D152" i="3"/>
  <c r="E152" i="3"/>
  <c r="D153" i="3"/>
  <c r="E153" i="3"/>
  <c r="D154" i="3"/>
  <c r="E154" i="3"/>
  <c r="D155" i="3"/>
  <c r="E155" i="3"/>
  <c r="D156" i="3"/>
  <c r="E156" i="3"/>
  <c r="D157" i="3"/>
  <c r="E157" i="3"/>
  <c r="D158" i="3"/>
  <c r="E158" i="3"/>
  <c r="D159" i="3"/>
  <c r="E159" i="3"/>
  <c r="D160" i="3"/>
  <c r="E160" i="3"/>
  <c r="D161" i="3"/>
  <c r="E161" i="3"/>
  <c r="D162" i="3"/>
  <c r="E162" i="3"/>
  <c r="D163" i="3"/>
  <c r="E163" i="3"/>
  <c r="D164" i="3"/>
  <c r="E164" i="3"/>
  <c r="D165" i="3"/>
  <c r="E165" i="3"/>
  <c r="D166" i="3"/>
  <c r="E166" i="3"/>
  <c r="D167" i="3"/>
  <c r="E167" i="3"/>
  <c r="D168" i="3"/>
  <c r="E168" i="3"/>
  <c r="D169" i="3"/>
  <c r="E169" i="3"/>
  <c r="D170" i="3"/>
  <c r="E170" i="3"/>
  <c r="D171" i="3"/>
  <c r="E171" i="3"/>
  <c r="D172" i="3"/>
  <c r="E172" i="3"/>
  <c r="D173" i="3"/>
  <c r="E173" i="3"/>
  <c r="D174" i="3"/>
  <c r="E174" i="3"/>
  <c r="D175" i="3"/>
  <c r="E175" i="3"/>
  <c r="D176" i="3"/>
  <c r="E176" i="3"/>
  <c r="D177" i="3"/>
  <c r="E177" i="3"/>
  <c r="D178" i="3"/>
  <c r="E178" i="3"/>
  <c r="D179" i="3"/>
  <c r="E179" i="3"/>
  <c r="D180" i="3"/>
  <c r="E180" i="3"/>
  <c r="D181" i="3"/>
  <c r="E181" i="3"/>
  <c r="D182" i="3"/>
  <c r="E182" i="3"/>
  <c r="D183" i="3"/>
  <c r="E183" i="3"/>
  <c r="D184" i="3"/>
  <c r="E184" i="3"/>
  <c r="D185" i="3"/>
  <c r="E185" i="3"/>
  <c r="D186" i="3"/>
  <c r="E186" i="3"/>
  <c r="D187" i="3"/>
  <c r="E187" i="3"/>
  <c r="D188" i="3"/>
  <c r="E188" i="3"/>
  <c r="D189" i="3"/>
  <c r="E189" i="3"/>
  <c r="D190" i="3"/>
  <c r="E190" i="3"/>
  <c r="D191" i="3"/>
  <c r="E191" i="3"/>
  <c r="D192" i="3"/>
  <c r="E192" i="3"/>
  <c r="D193" i="3"/>
  <c r="E193" i="3"/>
  <c r="D194" i="3"/>
  <c r="E194" i="3"/>
  <c r="D195" i="3"/>
  <c r="E195" i="3"/>
  <c r="D196" i="3"/>
  <c r="E196" i="3"/>
  <c r="D197" i="3"/>
  <c r="E197" i="3"/>
  <c r="D198" i="3"/>
  <c r="E198" i="3"/>
  <c r="D199" i="3"/>
  <c r="E199" i="3"/>
  <c r="D200" i="3"/>
  <c r="E200" i="3"/>
  <c r="D201" i="3"/>
  <c r="E201" i="3"/>
  <c r="D202" i="3"/>
  <c r="E202" i="3"/>
  <c r="D203" i="3"/>
  <c r="E203" i="3"/>
  <c r="D204" i="3"/>
  <c r="E204" i="3"/>
  <c r="D205" i="3"/>
  <c r="E205" i="3"/>
  <c r="D206" i="3"/>
  <c r="E206" i="3"/>
  <c r="D207" i="3"/>
  <c r="E207" i="3"/>
  <c r="D208" i="3"/>
  <c r="E208" i="3"/>
  <c r="D209" i="3"/>
  <c r="E209" i="3"/>
  <c r="D210" i="3"/>
  <c r="E210" i="3"/>
  <c r="D211" i="3"/>
  <c r="E211" i="3"/>
  <c r="D212" i="3"/>
  <c r="E212" i="3"/>
  <c r="D213" i="3"/>
  <c r="E213" i="3"/>
  <c r="D214" i="3"/>
  <c r="E214" i="3"/>
  <c r="D215" i="3"/>
  <c r="E215" i="3"/>
  <c r="D216" i="3"/>
  <c r="E216" i="3"/>
  <c r="D217" i="3"/>
  <c r="E217" i="3"/>
  <c r="D218" i="3"/>
  <c r="E218" i="3"/>
  <c r="D219" i="3"/>
  <c r="E219" i="3"/>
  <c r="D220" i="3"/>
  <c r="E220" i="3"/>
  <c r="D221" i="3"/>
  <c r="E221" i="3"/>
  <c r="D222" i="3"/>
  <c r="E222" i="3"/>
  <c r="D223" i="3"/>
  <c r="E223" i="3"/>
  <c r="D224" i="3"/>
  <c r="E224" i="3"/>
  <c r="D225" i="3"/>
  <c r="E225" i="3"/>
  <c r="D226" i="3"/>
  <c r="E226" i="3"/>
  <c r="D227" i="3"/>
  <c r="E227" i="3"/>
  <c r="D228" i="3"/>
  <c r="E228" i="3"/>
  <c r="D229" i="3"/>
  <c r="E229" i="3"/>
  <c r="D230" i="3"/>
  <c r="E230" i="3"/>
  <c r="D231" i="3"/>
  <c r="E231" i="3"/>
  <c r="D232" i="3"/>
  <c r="E232" i="3"/>
  <c r="D233" i="3"/>
  <c r="E233" i="3"/>
  <c r="D234" i="3"/>
  <c r="E234" i="3"/>
  <c r="D235" i="3"/>
  <c r="E235" i="3"/>
  <c r="D236" i="3"/>
  <c r="E236" i="3"/>
  <c r="D237" i="3"/>
  <c r="E237" i="3"/>
  <c r="D238" i="3"/>
  <c r="E238" i="3"/>
  <c r="D239" i="3"/>
  <c r="E239" i="3"/>
  <c r="D240" i="3"/>
  <c r="E240" i="3"/>
  <c r="D241" i="3"/>
  <c r="E241" i="3"/>
  <c r="D242" i="3"/>
  <c r="E242" i="3"/>
  <c r="D243" i="3"/>
  <c r="E243" i="3"/>
  <c r="D244" i="3"/>
  <c r="E244" i="3"/>
  <c r="D245" i="3"/>
  <c r="E245" i="3"/>
  <c r="D246" i="3"/>
  <c r="E246" i="3"/>
  <c r="D247" i="3"/>
  <c r="E247" i="3"/>
  <c r="D248" i="3"/>
  <c r="E248" i="3"/>
  <c r="D249" i="3"/>
  <c r="E249" i="3"/>
  <c r="D250" i="3"/>
  <c r="E250" i="3"/>
  <c r="D251" i="3"/>
  <c r="E251" i="3"/>
  <c r="D252" i="3"/>
  <c r="E252" i="3"/>
  <c r="D253" i="3"/>
  <c r="E253" i="3"/>
  <c r="D254" i="3"/>
  <c r="E254" i="3"/>
  <c r="D255" i="3"/>
  <c r="E255" i="3"/>
  <c r="D256" i="3"/>
  <c r="E256" i="3"/>
  <c r="D257" i="3"/>
  <c r="E257" i="3"/>
  <c r="D258" i="3"/>
  <c r="E258" i="3"/>
  <c r="D259" i="3"/>
  <c r="E259" i="3"/>
  <c r="D260" i="3"/>
  <c r="E260" i="3"/>
  <c r="D261" i="3"/>
  <c r="E261" i="3"/>
  <c r="D262" i="3"/>
  <c r="E262" i="3"/>
  <c r="D263" i="3"/>
  <c r="E263" i="3"/>
  <c r="D264" i="3"/>
  <c r="E264" i="3"/>
  <c r="D265" i="3"/>
  <c r="E265" i="3"/>
  <c r="D266" i="3"/>
  <c r="E266" i="3"/>
  <c r="D267" i="3"/>
  <c r="E267" i="3"/>
  <c r="D268" i="3"/>
  <c r="E268" i="3"/>
  <c r="D269" i="3"/>
  <c r="E269" i="3"/>
  <c r="D270" i="3"/>
  <c r="E270" i="3"/>
  <c r="D271" i="3"/>
  <c r="E271" i="3"/>
  <c r="D272" i="3"/>
  <c r="E272" i="3"/>
  <c r="D273" i="3"/>
  <c r="E273" i="3"/>
  <c r="D274" i="3"/>
  <c r="E274" i="3"/>
  <c r="D275" i="3"/>
  <c r="E275" i="3"/>
  <c r="D276" i="3"/>
  <c r="E276" i="3"/>
  <c r="D277" i="3"/>
  <c r="E277" i="3"/>
  <c r="D278" i="3"/>
  <c r="E278" i="3"/>
  <c r="D279" i="3"/>
  <c r="E279" i="3"/>
  <c r="D280" i="3"/>
  <c r="E280" i="3"/>
  <c r="D281" i="3"/>
  <c r="E281" i="3"/>
  <c r="D282" i="3"/>
  <c r="E282" i="3"/>
  <c r="D283" i="3"/>
  <c r="E283" i="3"/>
  <c r="D284" i="3"/>
  <c r="E284" i="3"/>
  <c r="D285" i="3"/>
  <c r="E285" i="3"/>
  <c r="D286" i="3"/>
  <c r="E286" i="3"/>
  <c r="D287" i="3"/>
  <c r="E287" i="3"/>
  <c r="D288" i="3"/>
  <c r="E288" i="3"/>
  <c r="D289" i="3"/>
  <c r="E289" i="3"/>
  <c r="D290" i="3"/>
  <c r="E290" i="3"/>
  <c r="D291" i="3"/>
  <c r="E291" i="3"/>
  <c r="D292" i="3"/>
  <c r="E292" i="3"/>
  <c r="D293" i="3"/>
  <c r="E293" i="3"/>
  <c r="D294" i="3"/>
  <c r="E294" i="3"/>
  <c r="D295" i="3"/>
  <c r="E295" i="3"/>
  <c r="D296" i="3"/>
  <c r="E296" i="3"/>
  <c r="D297" i="3"/>
  <c r="E297" i="3"/>
  <c r="D298" i="3"/>
  <c r="E298" i="3"/>
  <c r="D299" i="3"/>
  <c r="E299" i="3"/>
  <c r="D300" i="3"/>
  <c r="E300" i="3"/>
  <c r="D301" i="3"/>
  <c r="E301" i="3"/>
  <c r="D302" i="3"/>
  <c r="E302" i="3"/>
  <c r="D303" i="3"/>
  <c r="E303" i="3"/>
  <c r="D304" i="3"/>
  <c r="E304" i="3"/>
  <c r="D305" i="3"/>
  <c r="E305" i="3"/>
  <c r="D306" i="3"/>
  <c r="E306" i="3"/>
  <c r="D307" i="3"/>
  <c r="E307" i="3"/>
  <c r="D308" i="3"/>
  <c r="E308" i="3"/>
  <c r="D309" i="3"/>
  <c r="E309" i="3"/>
  <c r="D310" i="3"/>
  <c r="E310" i="3"/>
  <c r="D311" i="3"/>
  <c r="E311" i="3"/>
  <c r="D312" i="3"/>
  <c r="E312" i="3"/>
  <c r="D313" i="3"/>
  <c r="E313" i="3"/>
  <c r="D314" i="3"/>
  <c r="E314" i="3"/>
  <c r="D315" i="3"/>
  <c r="E315" i="3"/>
  <c r="D316" i="3"/>
  <c r="E316" i="3"/>
  <c r="D317" i="3"/>
  <c r="E317" i="3"/>
  <c r="D318" i="3"/>
  <c r="E318" i="3"/>
  <c r="D319" i="3"/>
  <c r="E319" i="3"/>
  <c r="D320" i="3"/>
  <c r="E320" i="3"/>
  <c r="D321" i="3"/>
  <c r="E321" i="3"/>
  <c r="D322" i="3"/>
  <c r="E322" i="3"/>
  <c r="D323" i="3"/>
  <c r="E323" i="3"/>
  <c r="D324" i="3"/>
  <c r="E324" i="3"/>
  <c r="D325" i="3"/>
  <c r="E325" i="3"/>
  <c r="D326" i="3"/>
  <c r="E326" i="3"/>
  <c r="D327" i="3"/>
  <c r="E327" i="3"/>
  <c r="D328" i="3"/>
  <c r="E328" i="3"/>
  <c r="D329" i="3"/>
  <c r="E329" i="3"/>
  <c r="D330" i="3"/>
  <c r="E330" i="3"/>
  <c r="D331" i="3"/>
  <c r="E331" i="3"/>
  <c r="D332" i="3"/>
  <c r="E332" i="3"/>
  <c r="D333" i="3"/>
  <c r="E333" i="3"/>
  <c r="D334" i="3"/>
  <c r="E334" i="3"/>
  <c r="D335" i="3"/>
  <c r="E335" i="3"/>
  <c r="D336" i="3"/>
  <c r="E336" i="3"/>
  <c r="D337" i="3"/>
  <c r="E337" i="3"/>
  <c r="D338" i="3"/>
  <c r="E338" i="3"/>
  <c r="D339" i="3"/>
  <c r="E339" i="3"/>
  <c r="D340" i="3"/>
  <c r="E340" i="3"/>
  <c r="D341" i="3"/>
  <c r="E341" i="3"/>
  <c r="D342" i="3"/>
  <c r="E342" i="3"/>
  <c r="D343" i="3"/>
  <c r="E343" i="3"/>
  <c r="D344" i="3"/>
  <c r="E344" i="3"/>
  <c r="D345" i="3"/>
  <c r="E345" i="3"/>
  <c r="D346" i="3"/>
  <c r="E346" i="3"/>
  <c r="D347" i="3"/>
  <c r="E347" i="3"/>
  <c r="D348" i="3"/>
  <c r="E348" i="3"/>
  <c r="D349" i="3"/>
  <c r="E349" i="3"/>
  <c r="D350" i="3"/>
  <c r="E350" i="3"/>
  <c r="D351" i="3"/>
  <c r="E351" i="3"/>
  <c r="D352" i="3"/>
  <c r="E352" i="3"/>
  <c r="D353" i="3"/>
  <c r="E353" i="3"/>
  <c r="D354" i="3"/>
  <c r="E354" i="3"/>
  <c r="D355" i="3"/>
  <c r="E355" i="3"/>
  <c r="D356" i="3"/>
  <c r="E356" i="3"/>
  <c r="D357" i="3"/>
  <c r="E357" i="3"/>
  <c r="D358" i="3"/>
  <c r="E358" i="3"/>
  <c r="D359" i="3"/>
  <c r="E359" i="3"/>
  <c r="D360" i="3"/>
  <c r="E360" i="3"/>
  <c r="D361" i="3"/>
  <c r="E361" i="3"/>
  <c r="D362" i="3"/>
  <c r="E362" i="3"/>
  <c r="D363" i="3"/>
  <c r="E363" i="3"/>
  <c r="D364" i="3"/>
  <c r="E364" i="3"/>
  <c r="D365" i="3"/>
  <c r="E365" i="3"/>
  <c r="D366" i="3"/>
  <c r="E366" i="3"/>
  <c r="D367" i="3"/>
  <c r="E367" i="3"/>
  <c r="D368" i="3"/>
  <c r="E368" i="3"/>
  <c r="D369" i="3"/>
  <c r="E369" i="3"/>
  <c r="D370" i="3"/>
  <c r="E370" i="3"/>
  <c r="D371" i="3"/>
  <c r="E371" i="3"/>
  <c r="D372" i="3"/>
  <c r="E372" i="3"/>
  <c r="D373" i="3"/>
  <c r="E373" i="3"/>
  <c r="D374" i="3"/>
  <c r="E374" i="3"/>
  <c r="D375" i="3"/>
  <c r="E375" i="3"/>
  <c r="D376" i="3"/>
  <c r="E376" i="3"/>
  <c r="D377" i="3"/>
  <c r="E377" i="3"/>
  <c r="D378" i="3"/>
  <c r="E378" i="3"/>
  <c r="D379" i="3"/>
  <c r="E379" i="3"/>
  <c r="D380" i="3"/>
  <c r="E380" i="3"/>
  <c r="D381" i="3"/>
  <c r="E381" i="3"/>
  <c r="D382" i="3"/>
  <c r="E382" i="3"/>
  <c r="D383" i="3"/>
  <c r="E383" i="3"/>
  <c r="D384" i="3"/>
  <c r="E384" i="3"/>
  <c r="D385" i="3"/>
  <c r="E385" i="3"/>
  <c r="D386" i="3"/>
  <c r="E386" i="3"/>
  <c r="D387" i="3"/>
  <c r="E387" i="3"/>
  <c r="D388" i="3"/>
  <c r="E388" i="3"/>
  <c r="D389" i="3"/>
  <c r="E389" i="3"/>
  <c r="D390" i="3"/>
  <c r="E390" i="3"/>
  <c r="D391" i="3"/>
  <c r="E391" i="3"/>
  <c r="D392" i="3"/>
  <c r="E392" i="3"/>
  <c r="D393" i="3"/>
  <c r="E393" i="3"/>
  <c r="D394" i="3"/>
  <c r="E394" i="3"/>
  <c r="D395" i="3"/>
  <c r="E395" i="3"/>
  <c r="D396" i="3"/>
  <c r="E396" i="3"/>
  <c r="D397" i="3"/>
  <c r="E397" i="3"/>
  <c r="D398" i="3"/>
  <c r="E398" i="3"/>
  <c r="D399" i="3"/>
  <c r="E399" i="3"/>
  <c r="D400" i="3"/>
  <c r="E400" i="3"/>
  <c r="D401" i="3"/>
  <c r="E401" i="3"/>
  <c r="D402" i="3"/>
  <c r="E402" i="3"/>
  <c r="D403" i="3"/>
  <c r="E403" i="3"/>
  <c r="D404" i="3"/>
  <c r="E404" i="3"/>
  <c r="D405" i="3"/>
  <c r="E405" i="3"/>
  <c r="D406" i="3"/>
  <c r="E406" i="3"/>
  <c r="D407" i="3"/>
  <c r="E407" i="3"/>
  <c r="D408" i="3"/>
  <c r="E408" i="3"/>
  <c r="D409" i="3"/>
  <c r="E409" i="3"/>
  <c r="D410" i="3"/>
  <c r="E410" i="3"/>
  <c r="D411" i="3"/>
  <c r="E411" i="3"/>
  <c r="D412" i="3"/>
  <c r="E412" i="3"/>
  <c r="D413" i="3"/>
  <c r="E413" i="3"/>
  <c r="D414" i="3"/>
  <c r="E414" i="3"/>
  <c r="D415" i="3"/>
  <c r="E415" i="3"/>
  <c r="D416" i="3"/>
  <c r="E416" i="3"/>
  <c r="D417" i="3"/>
  <c r="E417" i="3"/>
  <c r="D418" i="3"/>
  <c r="E418" i="3"/>
  <c r="D419" i="3"/>
  <c r="E419" i="3"/>
  <c r="D420" i="3"/>
  <c r="E420" i="3"/>
  <c r="D421" i="3"/>
  <c r="E421" i="3"/>
  <c r="D422" i="3"/>
  <c r="E422" i="3"/>
  <c r="D423" i="3"/>
  <c r="E423" i="3"/>
  <c r="D424" i="3"/>
  <c r="E424" i="3"/>
  <c r="D425" i="3"/>
  <c r="E425" i="3"/>
  <c r="D426" i="3"/>
  <c r="E426" i="3"/>
  <c r="D427" i="3"/>
  <c r="E427" i="3"/>
  <c r="D428" i="3"/>
  <c r="E428" i="3"/>
  <c r="D429" i="3"/>
  <c r="E429" i="3"/>
  <c r="D430" i="3"/>
  <c r="E430" i="3"/>
  <c r="D431" i="3"/>
  <c r="E431" i="3"/>
  <c r="D432" i="3"/>
  <c r="E432" i="3"/>
  <c r="D433" i="3"/>
  <c r="E433" i="3"/>
  <c r="D434" i="3"/>
  <c r="E434" i="3"/>
  <c r="D435" i="3"/>
  <c r="E435" i="3"/>
  <c r="D436" i="3"/>
  <c r="E436" i="3"/>
  <c r="D437" i="3"/>
  <c r="E437" i="3"/>
  <c r="D438" i="3"/>
  <c r="E438" i="3"/>
  <c r="D439" i="3"/>
  <c r="E439" i="3"/>
  <c r="D440" i="3"/>
  <c r="E440" i="3"/>
  <c r="D441" i="3"/>
  <c r="E441" i="3"/>
  <c r="D442" i="3"/>
  <c r="E442" i="3"/>
  <c r="D443" i="3"/>
  <c r="E443" i="3"/>
  <c r="D444" i="3"/>
  <c r="E444" i="3"/>
  <c r="D445" i="3"/>
  <c r="E445" i="3"/>
  <c r="D446" i="3"/>
  <c r="E446" i="3"/>
  <c r="D447" i="3"/>
  <c r="E447" i="3"/>
  <c r="D448" i="3"/>
  <c r="E448" i="3"/>
  <c r="D449" i="3"/>
  <c r="E449" i="3"/>
  <c r="D450" i="3"/>
  <c r="E450" i="3"/>
  <c r="D451" i="3"/>
  <c r="E451" i="3"/>
  <c r="D452" i="3"/>
  <c r="E452" i="3"/>
  <c r="D453" i="3"/>
  <c r="E453" i="3"/>
  <c r="D454" i="3"/>
  <c r="E454" i="3"/>
  <c r="D455" i="3"/>
  <c r="E455" i="3"/>
  <c r="D456" i="3"/>
  <c r="E456" i="3"/>
  <c r="D457" i="3"/>
  <c r="E457" i="3"/>
  <c r="D458" i="3"/>
  <c r="E458" i="3"/>
  <c r="D459" i="3"/>
  <c r="E459" i="3"/>
  <c r="D460" i="3"/>
  <c r="E460" i="3"/>
  <c r="D461" i="3"/>
  <c r="E461" i="3"/>
  <c r="D462" i="3"/>
  <c r="E462" i="3"/>
  <c r="D463" i="3"/>
  <c r="E463" i="3"/>
  <c r="D464" i="3"/>
  <c r="E464" i="3"/>
  <c r="D465" i="3"/>
  <c r="E465" i="3"/>
  <c r="D466" i="3"/>
  <c r="E466" i="3"/>
  <c r="D467" i="3"/>
  <c r="E467" i="3"/>
  <c r="D468" i="3"/>
  <c r="E468" i="3"/>
  <c r="D469" i="3"/>
  <c r="E469" i="3"/>
  <c r="D470" i="3"/>
  <c r="E470" i="3"/>
  <c r="D471" i="3"/>
  <c r="E471" i="3"/>
  <c r="D472" i="3"/>
  <c r="E472" i="3"/>
  <c r="D473" i="3"/>
  <c r="E473" i="3"/>
  <c r="D474" i="3"/>
  <c r="E474" i="3"/>
  <c r="D475" i="3"/>
  <c r="E475" i="3"/>
  <c r="D476" i="3"/>
  <c r="E476" i="3"/>
  <c r="D477" i="3"/>
  <c r="E477" i="3"/>
  <c r="D478" i="3"/>
  <c r="E478" i="3"/>
  <c r="D479" i="3"/>
  <c r="E479" i="3"/>
  <c r="D480" i="3"/>
  <c r="E480" i="3"/>
  <c r="D481" i="3"/>
  <c r="E481" i="3"/>
  <c r="D482" i="3"/>
  <c r="E482" i="3"/>
  <c r="D483" i="3"/>
  <c r="E483" i="3"/>
  <c r="D484" i="3"/>
  <c r="E484" i="3"/>
  <c r="D485" i="3"/>
  <c r="E485" i="3"/>
  <c r="D486" i="3"/>
  <c r="E486" i="3"/>
  <c r="D487" i="3"/>
  <c r="E487" i="3"/>
  <c r="D488" i="3"/>
  <c r="E488" i="3"/>
  <c r="D489" i="3"/>
  <c r="E489" i="3"/>
  <c r="D490" i="3"/>
  <c r="E490" i="3"/>
  <c r="D491" i="3"/>
  <c r="E491" i="3"/>
  <c r="D492" i="3"/>
  <c r="E492" i="3"/>
  <c r="D493" i="3"/>
  <c r="E493" i="3"/>
  <c r="D494" i="3"/>
  <c r="E494" i="3"/>
  <c r="D495" i="3"/>
  <c r="E495" i="3"/>
  <c r="D496" i="3"/>
  <c r="E496" i="3"/>
  <c r="D497" i="3"/>
  <c r="E497" i="3"/>
  <c r="D498" i="3"/>
  <c r="E498" i="3"/>
  <c r="D499" i="3"/>
  <c r="E499" i="3"/>
  <c r="D500" i="3"/>
  <c r="E500" i="3"/>
  <c r="D501" i="3"/>
  <c r="E501" i="3"/>
  <c r="A752" i="3"/>
  <c r="B752" i="3"/>
  <c r="I752" i="3"/>
  <c r="J752" i="3"/>
  <c r="L752" i="3"/>
  <c r="A753" i="3"/>
  <c r="B753" i="3"/>
  <c r="J753" i="3"/>
  <c r="L753" i="3"/>
  <c r="A754" i="3"/>
  <c r="B754" i="3"/>
  <c r="K754" i="3"/>
  <c r="L754" i="3"/>
  <c r="A755" i="3"/>
  <c r="B755" i="3"/>
  <c r="I755" i="3"/>
  <c r="K755" i="3"/>
  <c r="L755" i="3"/>
  <c r="A756" i="3"/>
  <c r="B756" i="3"/>
  <c r="J756" i="3"/>
  <c r="L756" i="3"/>
  <c r="A757" i="3"/>
  <c r="B757" i="3"/>
  <c r="I757" i="3"/>
  <c r="J757" i="3"/>
  <c r="L757" i="3"/>
  <c r="A758" i="3"/>
  <c r="B758" i="3"/>
  <c r="I758" i="3"/>
  <c r="J758" i="3"/>
  <c r="L758" i="3"/>
  <c r="A759" i="3"/>
  <c r="B759" i="3"/>
  <c r="J759" i="3"/>
  <c r="L759" i="3"/>
  <c r="A760" i="3"/>
  <c r="B760" i="3"/>
  <c r="K760" i="3"/>
  <c r="L760" i="3"/>
  <c r="A761" i="3"/>
  <c r="B761" i="3"/>
  <c r="I761" i="3"/>
  <c r="K761" i="3"/>
  <c r="L761" i="3"/>
  <c r="A762" i="3"/>
  <c r="B762" i="3"/>
  <c r="J762" i="3"/>
  <c r="L762" i="3"/>
  <c r="A763" i="3"/>
  <c r="B763" i="3"/>
  <c r="I763" i="3"/>
  <c r="J763" i="3"/>
  <c r="L763" i="3"/>
  <c r="A764" i="3"/>
  <c r="B764" i="3"/>
  <c r="I764" i="3"/>
  <c r="J764" i="3"/>
  <c r="L764" i="3"/>
  <c r="A765" i="3"/>
  <c r="B765" i="3"/>
  <c r="J765" i="3"/>
  <c r="L765" i="3"/>
  <c r="A766" i="3"/>
  <c r="B766" i="3"/>
  <c r="K766" i="3"/>
  <c r="L766" i="3"/>
  <c r="A767" i="3"/>
  <c r="B767" i="3"/>
  <c r="I767" i="3"/>
  <c r="K767" i="3"/>
  <c r="L767" i="3"/>
  <c r="A768" i="3"/>
  <c r="B768" i="3"/>
  <c r="J768" i="3"/>
  <c r="L768" i="3"/>
  <c r="A769" i="3"/>
  <c r="B769" i="3"/>
  <c r="I769" i="3"/>
  <c r="J769" i="3"/>
  <c r="L769" i="3"/>
  <c r="A770" i="3"/>
  <c r="B770" i="3"/>
  <c r="I770" i="3"/>
  <c r="J770" i="3"/>
  <c r="L770" i="3"/>
  <c r="A771" i="3"/>
  <c r="B771" i="3"/>
  <c r="J771" i="3"/>
  <c r="L771" i="3"/>
  <c r="A772" i="3"/>
  <c r="B772" i="3"/>
  <c r="K772" i="3"/>
  <c r="L772" i="3"/>
  <c r="A773" i="3"/>
  <c r="B773" i="3"/>
  <c r="I773" i="3"/>
  <c r="K773" i="3"/>
  <c r="L773" i="3"/>
  <c r="A774" i="3"/>
  <c r="B774" i="3"/>
  <c r="J774" i="3"/>
  <c r="L774" i="3"/>
  <c r="A775" i="3"/>
  <c r="B775" i="3"/>
  <c r="I775" i="3"/>
  <c r="J775" i="3"/>
  <c r="L775" i="3"/>
  <c r="A776" i="3"/>
  <c r="B776" i="3"/>
  <c r="I776" i="3"/>
  <c r="J776" i="3"/>
  <c r="L776" i="3"/>
  <c r="A777" i="3"/>
  <c r="B777" i="3"/>
  <c r="J777" i="3"/>
  <c r="L777" i="3"/>
  <c r="A778" i="3"/>
  <c r="B778" i="3"/>
  <c r="K778" i="3"/>
  <c r="L778" i="3"/>
  <c r="A779" i="3"/>
  <c r="B779" i="3"/>
  <c r="I779" i="3"/>
  <c r="K779" i="3"/>
  <c r="L779" i="3"/>
  <c r="A780" i="3"/>
  <c r="B780" i="3"/>
  <c r="J780" i="3"/>
  <c r="L780" i="3"/>
  <c r="A781" i="3"/>
  <c r="B781" i="3"/>
  <c r="I781" i="3"/>
  <c r="J781" i="3"/>
  <c r="L781" i="3"/>
  <c r="A782" i="3"/>
  <c r="B782" i="3"/>
  <c r="I782" i="3"/>
  <c r="J782" i="3"/>
  <c r="L782" i="3"/>
  <c r="A783" i="3"/>
  <c r="B783" i="3"/>
  <c r="J783" i="3"/>
  <c r="L783" i="3"/>
  <c r="A784" i="3"/>
  <c r="B784" i="3"/>
  <c r="K784" i="3"/>
  <c r="L784" i="3"/>
  <c r="A785" i="3"/>
  <c r="B785" i="3"/>
  <c r="I785" i="3"/>
  <c r="K785" i="3"/>
  <c r="L785" i="3"/>
  <c r="A786" i="3"/>
  <c r="B786" i="3"/>
  <c r="J786" i="3"/>
  <c r="L786" i="3"/>
  <c r="A787" i="3"/>
  <c r="B787" i="3"/>
  <c r="I787" i="3"/>
  <c r="J787" i="3"/>
  <c r="L787" i="3"/>
  <c r="A788" i="3"/>
  <c r="B788" i="3"/>
  <c r="I788" i="3"/>
  <c r="J788" i="3"/>
  <c r="L788" i="3"/>
  <c r="A789" i="3"/>
  <c r="B789" i="3"/>
  <c r="J789" i="3"/>
  <c r="L789" i="3"/>
  <c r="A790" i="3"/>
  <c r="B790" i="3"/>
  <c r="K790" i="3"/>
  <c r="L790" i="3"/>
  <c r="A791" i="3"/>
  <c r="B791" i="3"/>
  <c r="I791" i="3"/>
  <c r="K791" i="3"/>
  <c r="L791" i="3"/>
  <c r="A792" i="3"/>
  <c r="B792" i="3"/>
  <c r="J792" i="3"/>
  <c r="L792" i="3"/>
  <c r="A793" i="3"/>
  <c r="B793" i="3"/>
  <c r="I793" i="3"/>
  <c r="J793" i="3"/>
  <c r="L793" i="3"/>
  <c r="A794" i="3"/>
  <c r="B794" i="3"/>
  <c r="I794" i="3"/>
  <c r="J794" i="3"/>
  <c r="L794" i="3"/>
  <c r="A795" i="3"/>
  <c r="B795" i="3"/>
  <c r="J795" i="3"/>
  <c r="L795" i="3"/>
  <c r="A796" i="3"/>
  <c r="B796" i="3"/>
  <c r="K796" i="3"/>
  <c r="L796" i="3"/>
  <c r="A797" i="3"/>
  <c r="B797" i="3"/>
  <c r="I797" i="3"/>
  <c r="K797" i="3"/>
  <c r="L797" i="3"/>
  <c r="A798" i="3"/>
  <c r="B798" i="3"/>
  <c r="J798" i="3"/>
  <c r="L798" i="3"/>
  <c r="A799" i="3"/>
  <c r="B799" i="3"/>
  <c r="I799" i="3"/>
  <c r="J799" i="3"/>
  <c r="L799" i="3"/>
  <c r="A800" i="3"/>
  <c r="B800" i="3"/>
  <c r="I800" i="3"/>
  <c r="J800" i="3"/>
  <c r="L800" i="3"/>
  <c r="A801" i="3"/>
  <c r="B801" i="3"/>
  <c r="J801" i="3"/>
  <c r="L801" i="3"/>
  <c r="A627" i="3"/>
  <c r="B627" i="3"/>
  <c r="J627" i="3"/>
  <c r="L627" i="3"/>
  <c r="A628" i="3"/>
  <c r="B628" i="3"/>
  <c r="K628" i="3"/>
  <c r="L628" i="3"/>
  <c r="A629" i="3"/>
  <c r="B629" i="3"/>
  <c r="I629" i="3"/>
  <c r="K629" i="3"/>
  <c r="L629" i="3"/>
  <c r="A630" i="3"/>
  <c r="B630" i="3"/>
  <c r="J630" i="3"/>
  <c r="L630" i="3"/>
  <c r="A631" i="3"/>
  <c r="B631" i="3"/>
  <c r="I631" i="3"/>
  <c r="J631" i="3"/>
  <c r="L631" i="3"/>
  <c r="A632" i="3"/>
  <c r="B632" i="3"/>
  <c r="I632" i="3"/>
  <c r="J632" i="3"/>
  <c r="L632" i="3"/>
  <c r="A633" i="3"/>
  <c r="B633" i="3"/>
  <c r="J633" i="3"/>
  <c r="L633" i="3"/>
  <c r="A634" i="3"/>
  <c r="B634" i="3"/>
  <c r="K634" i="3"/>
  <c r="L634" i="3"/>
  <c r="A635" i="3"/>
  <c r="B635" i="3"/>
  <c r="I635" i="3"/>
  <c r="K635" i="3"/>
  <c r="L635" i="3"/>
  <c r="A636" i="3"/>
  <c r="B636" i="3"/>
  <c r="J636" i="3"/>
  <c r="L636" i="3"/>
  <c r="A637" i="3"/>
  <c r="B637" i="3"/>
  <c r="I637" i="3"/>
  <c r="J637" i="3"/>
  <c r="L637" i="3"/>
  <c r="A638" i="3"/>
  <c r="B638" i="3"/>
  <c r="I638" i="3"/>
  <c r="J638" i="3"/>
  <c r="L638" i="3"/>
  <c r="A639" i="3"/>
  <c r="B639" i="3"/>
  <c r="J639" i="3"/>
  <c r="L639" i="3"/>
  <c r="A640" i="3"/>
  <c r="B640" i="3"/>
  <c r="K640" i="3"/>
  <c r="L640" i="3"/>
  <c r="A641" i="3"/>
  <c r="B641" i="3"/>
  <c r="I641" i="3"/>
  <c r="K641" i="3"/>
  <c r="L641" i="3"/>
  <c r="A642" i="3"/>
  <c r="B642" i="3"/>
  <c r="J642" i="3"/>
  <c r="L642" i="3"/>
  <c r="A643" i="3"/>
  <c r="B643" i="3"/>
  <c r="I643" i="3"/>
  <c r="J643" i="3"/>
  <c r="L643" i="3"/>
  <c r="A644" i="3"/>
  <c r="B644" i="3"/>
  <c r="I644" i="3"/>
  <c r="J644" i="3"/>
  <c r="L644" i="3"/>
  <c r="A645" i="3"/>
  <c r="B645" i="3"/>
  <c r="J645" i="3"/>
  <c r="L645" i="3"/>
  <c r="A646" i="3"/>
  <c r="B646" i="3"/>
  <c r="K646" i="3"/>
  <c r="L646" i="3"/>
  <c r="A647" i="3"/>
  <c r="B647" i="3"/>
  <c r="I647" i="3"/>
  <c r="K647" i="3"/>
  <c r="L647" i="3"/>
  <c r="A648" i="3"/>
  <c r="B648" i="3"/>
  <c r="J648" i="3"/>
  <c r="L648" i="3"/>
  <c r="A649" i="3"/>
  <c r="B649" i="3"/>
  <c r="I649" i="3"/>
  <c r="J649" i="3"/>
  <c r="L649" i="3"/>
  <c r="A650" i="3"/>
  <c r="B650" i="3"/>
  <c r="I650" i="3"/>
  <c r="J650" i="3"/>
  <c r="L650" i="3"/>
  <c r="A651" i="3"/>
  <c r="B651" i="3"/>
  <c r="J651" i="3"/>
  <c r="L651" i="3"/>
  <c r="A652" i="3"/>
  <c r="B652" i="3"/>
  <c r="K652" i="3"/>
  <c r="L652" i="3"/>
  <c r="A653" i="3"/>
  <c r="B653" i="3"/>
  <c r="I653" i="3"/>
  <c r="K653" i="3"/>
  <c r="L653" i="3"/>
  <c r="A654" i="3"/>
  <c r="B654" i="3"/>
  <c r="J654" i="3"/>
  <c r="L654" i="3"/>
  <c r="A655" i="3"/>
  <c r="B655" i="3"/>
  <c r="I655" i="3"/>
  <c r="J655" i="3"/>
  <c r="L655" i="3"/>
  <c r="A656" i="3"/>
  <c r="B656" i="3"/>
  <c r="I656" i="3"/>
  <c r="J656" i="3"/>
  <c r="L656" i="3"/>
  <c r="A657" i="3"/>
  <c r="B657" i="3"/>
  <c r="J657" i="3"/>
  <c r="L657" i="3"/>
  <c r="A658" i="3"/>
  <c r="B658" i="3"/>
  <c r="K658" i="3"/>
  <c r="L658" i="3"/>
  <c r="A659" i="3"/>
  <c r="B659" i="3"/>
  <c r="I659" i="3"/>
  <c r="K659" i="3"/>
  <c r="L659" i="3"/>
  <c r="A660" i="3"/>
  <c r="B660" i="3"/>
  <c r="J660" i="3"/>
  <c r="L660" i="3"/>
  <c r="A661" i="3"/>
  <c r="B661" i="3"/>
  <c r="I661" i="3"/>
  <c r="J661" i="3"/>
  <c r="L661" i="3"/>
  <c r="A662" i="3"/>
  <c r="B662" i="3"/>
  <c r="I662" i="3"/>
  <c r="J662" i="3"/>
  <c r="L662" i="3"/>
  <c r="A663" i="3"/>
  <c r="B663" i="3"/>
  <c r="J663" i="3"/>
  <c r="L663" i="3"/>
  <c r="A664" i="3"/>
  <c r="B664" i="3"/>
  <c r="K664" i="3"/>
  <c r="L664" i="3"/>
  <c r="A665" i="3"/>
  <c r="B665" i="3"/>
  <c r="I665" i="3"/>
  <c r="K665" i="3"/>
  <c r="L665" i="3"/>
  <c r="A666" i="3"/>
  <c r="B666" i="3"/>
  <c r="J666" i="3"/>
  <c r="L666" i="3"/>
  <c r="A667" i="3"/>
  <c r="B667" i="3"/>
  <c r="I667" i="3"/>
  <c r="J667" i="3"/>
  <c r="L667" i="3"/>
  <c r="A668" i="3"/>
  <c r="B668" i="3"/>
  <c r="I668" i="3"/>
  <c r="J668" i="3"/>
  <c r="L668" i="3"/>
  <c r="A669" i="3"/>
  <c r="B669" i="3"/>
  <c r="J669" i="3"/>
  <c r="L669" i="3"/>
  <c r="A670" i="3"/>
  <c r="B670" i="3"/>
  <c r="K670" i="3"/>
  <c r="L670" i="3"/>
  <c r="A671" i="3"/>
  <c r="B671" i="3"/>
  <c r="I671" i="3"/>
  <c r="K671" i="3"/>
  <c r="L671" i="3"/>
  <c r="A672" i="3"/>
  <c r="B672" i="3"/>
  <c r="J672" i="3"/>
  <c r="L672" i="3"/>
  <c r="A673" i="3"/>
  <c r="B673" i="3"/>
  <c r="I673" i="3"/>
  <c r="J673" i="3"/>
  <c r="L673" i="3"/>
  <c r="A674" i="3"/>
  <c r="B674" i="3"/>
  <c r="I674" i="3"/>
  <c r="J674" i="3"/>
  <c r="L674" i="3"/>
  <c r="A675" i="3"/>
  <c r="B675" i="3"/>
  <c r="J675" i="3"/>
  <c r="L675" i="3"/>
  <c r="A676" i="3"/>
  <c r="B676" i="3"/>
  <c r="K676" i="3"/>
  <c r="L676" i="3"/>
  <c r="A677" i="3"/>
  <c r="B677" i="3"/>
  <c r="I677" i="3"/>
  <c r="K677" i="3"/>
  <c r="L677" i="3"/>
  <c r="A678" i="3"/>
  <c r="B678" i="3"/>
  <c r="J678" i="3"/>
  <c r="L678" i="3"/>
  <c r="A679" i="3"/>
  <c r="B679" i="3"/>
  <c r="I679" i="3"/>
  <c r="J679" i="3"/>
  <c r="L679" i="3"/>
  <c r="A680" i="3"/>
  <c r="B680" i="3"/>
  <c r="I680" i="3"/>
  <c r="J680" i="3"/>
  <c r="L680" i="3"/>
  <c r="A681" i="3"/>
  <c r="B681" i="3"/>
  <c r="J681" i="3"/>
  <c r="L681" i="3"/>
  <c r="A682" i="3"/>
  <c r="B682" i="3"/>
  <c r="K682" i="3"/>
  <c r="L682" i="3"/>
  <c r="A683" i="3"/>
  <c r="B683" i="3"/>
  <c r="I683" i="3"/>
  <c r="K683" i="3"/>
  <c r="L683" i="3"/>
  <c r="A684" i="3"/>
  <c r="B684" i="3"/>
  <c r="J684" i="3"/>
  <c r="L684" i="3"/>
  <c r="A685" i="3"/>
  <c r="B685" i="3"/>
  <c r="I685" i="3"/>
  <c r="J685" i="3"/>
  <c r="L685" i="3"/>
  <c r="A686" i="3"/>
  <c r="B686" i="3"/>
  <c r="I686" i="3"/>
  <c r="J686" i="3"/>
  <c r="L686" i="3"/>
  <c r="A687" i="3"/>
  <c r="B687" i="3"/>
  <c r="J687" i="3"/>
  <c r="L687" i="3"/>
  <c r="A688" i="3"/>
  <c r="B688" i="3"/>
  <c r="K688" i="3"/>
  <c r="L688" i="3"/>
  <c r="A689" i="3"/>
  <c r="B689" i="3"/>
  <c r="I689" i="3"/>
  <c r="K689" i="3"/>
  <c r="L689" i="3"/>
  <c r="A690" i="3"/>
  <c r="B690" i="3"/>
  <c r="J690" i="3"/>
  <c r="L690" i="3"/>
  <c r="A691" i="3"/>
  <c r="B691" i="3"/>
  <c r="I691" i="3"/>
  <c r="J691" i="3"/>
  <c r="L691" i="3"/>
  <c r="A692" i="3"/>
  <c r="B692" i="3"/>
  <c r="I692" i="3"/>
  <c r="J692" i="3"/>
  <c r="L692" i="3"/>
  <c r="A693" i="3"/>
  <c r="B693" i="3"/>
  <c r="J693" i="3"/>
  <c r="L693" i="3"/>
  <c r="A694" i="3"/>
  <c r="B694" i="3"/>
  <c r="K694" i="3"/>
  <c r="L694" i="3"/>
  <c r="A695" i="3"/>
  <c r="B695" i="3"/>
  <c r="I695" i="3"/>
  <c r="K695" i="3"/>
  <c r="L695" i="3"/>
  <c r="A696" i="3"/>
  <c r="B696" i="3"/>
  <c r="J696" i="3"/>
  <c r="L696" i="3"/>
  <c r="A697" i="3"/>
  <c r="B697" i="3"/>
  <c r="I697" i="3"/>
  <c r="J697" i="3"/>
  <c r="L697" i="3"/>
  <c r="A698" i="3"/>
  <c r="B698" i="3"/>
  <c r="I698" i="3"/>
  <c r="J698" i="3"/>
  <c r="L698" i="3"/>
  <c r="A699" i="3"/>
  <c r="B699" i="3"/>
  <c r="J699" i="3"/>
  <c r="L699" i="3"/>
  <c r="A700" i="3"/>
  <c r="B700" i="3"/>
  <c r="K700" i="3"/>
  <c r="L700" i="3"/>
  <c r="A701" i="3"/>
  <c r="B701" i="3"/>
  <c r="I701" i="3"/>
  <c r="K701" i="3"/>
  <c r="L701" i="3"/>
  <c r="A702" i="3"/>
  <c r="B702" i="3"/>
  <c r="J702" i="3"/>
  <c r="L702" i="3"/>
  <c r="A703" i="3"/>
  <c r="B703" i="3"/>
  <c r="I703" i="3"/>
  <c r="J703" i="3"/>
  <c r="L703" i="3"/>
  <c r="A704" i="3"/>
  <c r="B704" i="3"/>
  <c r="I704" i="3"/>
  <c r="J704" i="3"/>
  <c r="L704" i="3"/>
  <c r="A705" i="3"/>
  <c r="B705" i="3"/>
  <c r="J705" i="3"/>
  <c r="L705" i="3"/>
  <c r="A706" i="3"/>
  <c r="B706" i="3"/>
  <c r="K706" i="3"/>
  <c r="L706" i="3"/>
  <c r="A707" i="3"/>
  <c r="B707" i="3"/>
  <c r="I707" i="3"/>
  <c r="K707" i="3"/>
  <c r="L707" i="3"/>
  <c r="A708" i="3"/>
  <c r="B708" i="3"/>
  <c r="J708" i="3"/>
  <c r="L708" i="3"/>
  <c r="A709" i="3"/>
  <c r="B709" i="3"/>
  <c r="I709" i="3"/>
  <c r="J709" i="3"/>
  <c r="L709" i="3"/>
  <c r="A710" i="3"/>
  <c r="B710" i="3"/>
  <c r="I710" i="3"/>
  <c r="J710" i="3"/>
  <c r="L710" i="3"/>
  <c r="A711" i="3"/>
  <c r="B711" i="3"/>
  <c r="J711" i="3"/>
  <c r="L711" i="3"/>
  <c r="A712" i="3"/>
  <c r="B712" i="3"/>
  <c r="K712" i="3"/>
  <c r="L712" i="3"/>
  <c r="A713" i="3"/>
  <c r="B713" i="3"/>
  <c r="I713" i="3"/>
  <c r="K713" i="3"/>
  <c r="L713" i="3"/>
  <c r="A714" i="3"/>
  <c r="B714" i="3"/>
  <c r="J714" i="3"/>
  <c r="L714" i="3"/>
  <c r="A715" i="3"/>
  <c r="B715" i="3"/>
  <c r="I715" i="3"/>
  <c r="J715" i="3"/>
  <c r="L715" i="3"/>
  <c r="A716" i="3"/>
  <c r="B716" i="3"/>
  <c r="I716" i="3"/>
  <c r="J716" i="3"/>
  <c r="L716" i="3"/>
  <c r="A717" i="3"/>
  <c r="B717" i="3"/>
  <c r="J717" i="3"/>
  <c r="L717" i="3"/>
  <c r="A718" i="3"/>
  <c r="B718" i="3"/>
  <c r="K718" i="3"/>
  <c r="L718" i="3"/>
  <c r="A719" i="3"/>
  <c r="B719" i="3"/>
  <c r="I719" i="3"/>
  <c r="K719" i="3"/>
  <c r="L719" i="3"/>
  <c r="A720" i="3"/>
  <c r="B720" i="3"/>
  <c r="J720" i="3"/>
  <c r="L720" i="3"/>
  <c r="A721" i="3"/>
  <c r="B721" i="3"/>
  <c r="I721" i="3"/>
  <c r="J721" i="3"/>
  <c r="L721" i="3"/>
  <c r="A722" i="3"/>
  <c r="B722" i="3"/>
  <c r="I722" i="3"/>
  <c r="J722" i="3"/>
  <c r="L722" i="3"/>
  <c r="A723" i="3"/>
  <c r="B723" i="3"/>
  <c r="J723" i="3"/>
  <c r="L723" i="3"/>
  <c r="A724" i="3"/>
  <c r="B724" i="3"/>
  <c r="K724" i="3"/>
  <c r="L724" i="3"/>
  <c r="A725" i="3"/>
  <c r="B725" i="3"/>
  <c r="I725" i="3"/>
  <c r="K725" i="3"/>
  <c r="L725" i="3"/>
  <c r="A726" i="3"/>
  <c r="B726" i="3"/>
  <c r="J726" i="3"/>
  <c r="L726" i="3"/>
  <c r="A727" i="3"/>
  <c r="B727" i="3"/>
  <c r="I727" i="3"/>
  <c r="J727" i="3"/>
  <c r="L727" i="3"/>
  <c r="A728" i="3"/>
  <c r="B728" i="3"/>
  <c r="I728" i="3"/>
  <c r="J728" i="3"/>
  <c r="L728" i="3"/>
  <c r="A729" i="3"/>
  <c r="B729" i="3"/>
  <c r="J729" i="3"/>
  <c r="L729" i="3"/>
  <c r="A730" i="3"/>
  <c r="B730" i="3"/>
  <c r="K730" i="3"/>
  <c r="L730" i="3"/>
  <c r="A731" i="3"/>
  <c r="B731" i="3"/>
  <c r="I731" i="3"/>
  <c r="K731" i="3"/>
  <c r="L731" i="3"/>
  <c r="A732" i="3"/>
  <c r="B732" i="3"/>
  <c r="J732" i="3"/>
  <c r="L732" i="3"/>
  <c r="A733" i="3"/>
  <c r="B733" i="3"/>
  <c r="I733" i="3"/>
  <c r="J733" i="3"/>
  <c r="L733" i="3"/>
  <c r="A734" i="3"/>
  <c r="B734" i="3"/>
  <c r="I734" i="3"/>
  <c r="J734" i="3"/>
  <c r="L734" i="3"/>
  <c r="A735" i="3"/>
  <c r="B735" i="3"/>
  <c r="J735" i="3"/>
  <c r="L735" i="3"/>
  <c r="A736" i="3"/>
  <c r="B736" i="3"/>
  <c r="K736" i="3"/>
  <c r="L736" i="3"/>
  <c r="A737" i="3"/>
  <c r="B737" i="3"/>
  <c r="I737" i="3"/>
  <c r="K737" i="3"/>
  <c r="L737" i="3"/>
  <c r="A738" i="3"/>
  <c r="B738" i="3"/>
  <c r="J738" i="3"/>
  <c r="L738" i="3"/>
  <c r="A739" i="3"/>
  <c r="B739" i="3"/>
  <c r="I739" i="3"/>
  <c r="J739" i="3"/>
  <c r="L739" i="3"/>
  <c r="A740" i="3"/>
  <c r="B740" i="3"/>
  <c r="I740" i="3"/>
  <c r="J740" i="3"/>
  <c r="L740" i="3"/>
  <c r="A741" i="3"/>
  <c r="B741" i="3"/>
  <c r="J741" i="3"/>
  <c r="L741" i="3"/>
  <c r="A742" i="3"/>
  <c r="B742" i="3"/>
  <c r="K742" i="3"/>
  <c r="L742" i="3"/>
  <c r="A743" i="3"/>
  <c r="B743" i="3"/>
  <c r="I743" i="3"/>
  <c r="K743" i="3"/>
  <c r="L743" i="3"/>
  <c r="A744" i="3"/>
  <c r="B744" i="3"/>
  <c r="J744" i="3"/>
  <c r="L744" i="3"/>
  <c r="A745" i="3"/>
  <c r="B745" i="3"/>
  <c r="I745" i="3"/>
  <c r="J745" i="3"/>
  <c r="L745" i="3"/>
  <c r="A746" i="3"/>
  <c r="B746" i="3"/>
  <c r="I746" i="3"/>
  <c r="J746" i="3"/>
  <c r="L746" i="3"/>
  <c r="A747" i="3"/>
  <c r="B747" i="3"/>
  <c r="J747" i="3"/>
  <c r="L747" i="3"/>
  <c r="A748" i="3"/>
  <c r="B748" i="3"/>
  <c r="K748" i="3"/>
  <c r="L748" i="3"/>
  <c r="A749" i="3"/>
  <c r="B749" i="3"/>
  <c r="I749" i="3"/>
  <c r="K749" i="3"/>
  <c r="L749" i="3"/>
  <c r="A750" i="3"/>
  <c r="B750" i="3"/>
  <c r="J750" i="3"/>
  <c r="L750" i="3"/>
  <c r="A751" i="3"/>
  <c r="B751" i="3"/>
  <c r="I751" i="3"/>
  <c r="J751" i="3"/>
  <c r="L751" i="3"/>
  <c r="A502" i="3"/>
  <c r="B502" i="3"/>
  <c r="K502" i="3"/>
  <c r="L502" i="3"/>
  <c r="A503" i="3"/>
  <c r="B503" i="3"/>
  <c r="I503" i="3"/>
  <c r="K503" i="3"/>
  <c r="L503" i="3"/>
  <c r="A504" i="3"/>
  <c r="B504" i="3"/>
  <c r="J504" i="3"/>
  <c r="L504" i="3"/>
  <c r="A505" i="3"/>
  <c r="B505" i="3"/>
  <c r="I505" i="3"/>
  <c r="J505" i="3"/>
  <c r="L505" i="3"/>
  <c r="A506" i="3"/>
  <c r="B506" i="3"/>
  <c r="I506" i="3"/>
  <c r="J506" i="3"/>
  <c r="L506" i="3"/>
  <c r="A507" i="3"/>
  <c r="B507" i="3"/>
  <c r="J507" i="3"/>
  <c r="L507" i="3"/>
  <c r="A508" i="3"/>
  <c r="B508" i="3"/>
  <c r="K508" i="3"/>
  <c r="L508" i="3"/>
  <c r="A509" i="3"/>
  <c r="B509" i="3"/>
  <c r="I509" i="3"/>
  <c r="K509" i="3"/>
  <c r="L509" i="3"/>
  <c r="A510" i="3"/>
  <c r="B510" i="3"/>
  <c r="J510" i="3"/>
  <c r="L510" i="3"/>
  <c r="A511" i="3"/>
  <c r="B511" i="3"/>
  <c r="I511" i="3"/>
  <c r="J511" i="3"/>
  <c r="L511" i="3"/>
  <c r="A512" i="3"/>
  <c r="B512" i="3"/>
  <c r="I512" i="3"/>
  <c r="J512" i="3"/>
  <c r="L512" i="3"/>
  <c r="A513" i="3"/>
  <c r="B513" i="3"/>
  <c r="J513" i="3"/>
  <c r="L513" i="3"/>
  <c r="A514" i="3"/>
  <c r="B514" i="3"/>
  <c r="K514" i="3"/>
  <c r="L514" i="3"/>
  <c r="A515" i="3"/>
  <c r="B515" i="3"/>
  <c r="I515" i="3"/>
  <c r="K515" i="3"/>
  <c r="L515" i="3"/>
  <c r="A516" i="3"/>
  <c r="B516" i="3"/>
  <c r="J516" i="3"/>
  <c r="L516" i="3"/>
  <c r="A517" i="3"/>
  <c r="B517" i="3"/>
  <c r="I517" i="3"/>
  <c r="J517" i="3"/>
  <c r="L517" i="3"/>
  <c r="A518" i="3"/>
  <c r="B518" i="3"/>
  <c r="I518" i="3"/>
  <c r="J518" i="3"/>
  <c r="L518" i="3"/>
  <c r="A519" i="3"/>
  <c r="B519" i="3"/>
  <c r="J519" i="3"/>
  <c r="L519" i="3"/>
  <c r="A520" i="3"/>
  <c r="B520" i="3"/>
  <c r="K520" i="3"/>
  <c r="L520" i="3"/>
  <c r="A521" i="3"/>
  <c r="B521" i="3"/>
  <c r="I521" i="3"/>
  <c r="K521" i="3"/>
  <c r="L521" i="3"/>
  <c r="A522" i="3"/>
  <c r="B522" i="3"/>
  <c r="J522" i="3"/>
  <c r="L522" i="3"/>
  <c r="A523" i="3"/>
  <c r="B523" i="3"/>
  <c r="I523" i="3"/>
  <c r="J523" i="3"/>
  <c r="L523" i="3"/>
  <c r="A524" i="3"/>
  <c r="B524" i="3"/>
  <c r="I524" i="3"/>
  <c r="J524" i="3"/>
  <c r="L524" i="3"/>
  <c r="A525" i="3"/>
  <c r="B525" i="3"/>
  <c r="J525" i="3"/>
  <c r="L525" i="3"/>
  <c r="A526" i="3"/>
  <c r="B526" i="3"/>
  <c r="K526" i="3"/>
  <c r="L526" i="3"/>
  <c r="A527" i="3"/>
  <c r="B527" i="3"/>
  <c r="I527" i="3"/>
  <c r="K527" i="3"/>
  <c r="L527" i="3"/>
  <c r="A528" i="3"/>
  <c r="B528" i="3"/>
  <c r="J528" i="3"/>
  <c r="L528" i="3"/>
  <c r="A529" i="3"/>
  <c r="B529" i="3"/>
  <c r="I529" i="3"/>
  <c r="J529" i="3"/>
  <c r="L529" i="3"/>
  <c r="A530" i="3"/>
  <c r="B530" i="3"/>
  <c r="I530" i="3"/>
  <c r="J530" i="3"/>
  <c r="L530" i="3"/>
  <c r="A531" i="3"/>
  <c r="B531" i="3"/>
  <c r="J531" i="3"/>
  <c r="L531" i="3"/>
  <c r="A532" i="3"/>
  <c r="B532" i="3"/>
  <c r="K532" i="3"/>
  <c r="L532" i="3"/>
  <c r="A533" i="3"/>
  <c r="B533" i="3"/>
  <c r="I533" i="3"/>
  <c r="K533" i="3"/>
  <c r="L533" i="3"/>
  <c r="A534" i="3"/>
  <c r="B534" i="3"/>
  <c r="J534" i="3"/>
  <c r="L534" i="3"/>
  <c r="A535" i="3"/>
  <c r="B535" i="3"/>
  <c r="I535" i="3"/>
  <c r="J535" i="3"/>
  <c r="L535" i="3"/>
  <c r="A536" i="3"/>
  <c r="B536" i="3"/>
  <c r="I536" i="3"/>
  <c r="J536" i="3"/>
  <c r="L536" i="3"/>
  <c r="A537" i="3"/>
  <c r="B537" i="3"/>
  <c r="J537" i="3"/>
  <c r="L537" i="3"/>
  <c r="A538" i="3"/>
  <c r="B538" i="3"/>
  <c r="K538" i="3"/>
  <c r="L538" i="3"/>
  <c r="A539" i="3"/>
  <c r="B539" i="3"/>
  <c r="I539" i="3"/>
  <c r="K539" i="3"/>
  <c r="L539" i="3"/>
  <c r="A540" i="3"/>
  <c r="B540" i="3"/>
  <c r="J540" i="3"/>
  <c r="L540" i="3"/>
  <c r="A541" i="3"/>
  <c r="B541" i="3"/>
  <c r="I541" i="3"/>
  <c r="J541" i="3"/>
  <c r="L541" i="3"/>
  <c r="A542" i="3"/>
  <c r="B542" i="3"/>
  <c r="I542" i="3"/>
  <c r="J542" i="3"/>
  <c r="L542" i="3"/>
  <c r="A543" i="3"/>
  <c r="B543" i="3"/>
  <c r="J543" i="3"/>
  <c r="L543" i="3"/>
  <c r="A544" i="3"/>
  <c r="B544" i="3"/>
  <c r="K544" i="3"/>
  <c r="L544" i="3"/>
  <c r="A545" i="3"/>
  <c r="B545" i="3"/>
  <c r="I545" i="3"/>
  <c r="K545" i="3"/>
  <c r="L545" i="3"/>
  <c r="A546" i="3"/>
  <c r="B546" i="3"/>
  <c r="J546" i="3"/>
  <c r="L546" i="3"/>
  <c r="A547" i="3"/>
  <c r="B547" i="3"/>
  <c r="I547" i="3"/>
  <c r="J547" i="3"/>
  <c r="L547" i="3"/>
  <c r="A548" i="3"/>
  <c r="B548" i="3"/>
  <c r="I548" i="3"/>
  <c r="J548" i="3"/>
  <c r="L548" i="3"/>
  <c r="A549" i="3"/>
  <c r="B549" i="3"/>
  <c r="J549" i="3"/>
  <c r="L549" i="3"/>
  <c r="A550" i="3"/>
  <c r="B550" i="3"/>
  <c r="K550" i="3"/>
  <c r="L550" i="3"/>
  <c r="A551" i="3"/>
  <c r="B551" i="3"/>
  <c r="I551" i="3"/>
  <c r="K551" i="3"/>
  <c r="L551" i="3"/>
  <c r="A552" i="3"/>
  <c r="B552" i="3"/>
  <c r="J552" i="3"/>
  <c r="L552" i="3"/>
  <c r="A553" i="3"/>
  <c r="B553" i="3"/>
  <c r="I553" i="3"/>
  <c r="J553" i="3"/>
  <c r="L553" i="3"/>
  <c r="A554" i="3"/>
  <c r="B554" i="3"/>
  <c r="I554" i="3"/>
  <c r="J554" i="3"/>
  <c r="L554" i="3"/>
  <c r="A555" i="3"/>
  <c r="B555" i="3"/>
  <c r="J555" i="3"/>
  <c r="L555" i="3"/>
  <c r="A556" i="3"/>
  <c r="B556" i="3"/>
  <c r="K556" i="3"/>
  <c r="L556" i="3"/>
  <c r="A557" i="3"/>
  <c r="B557" i="3"/>
  <c r="I557" i="3"/>
  <c r="K557" i="3"/>
  <c r="L557" i="3"/>
  <c r="A558" i="3"/>
  <c r="B558" i="3"/>
  <c r="J558" i="3"/>
  <c r="L558" i="3"/>
  <c r="A559" i="3"/>
  <c r="B559" i="3"/>
  <c r="I559" i="3"/>
  <c r="J559" i="3"/>
  <c r="L559" i="3"/>
  <c r="A560" i="3"/>
  <c r="B560" i="3"/>
  <c r="I560" i="3"/>
  <c r="J560" i="3"/>
  <c r="L560" i="3"/>
  <c r="A561" i="3"/>
  <c r="B561" i="3"/>
  <c r="J561" i="3"/>
  <c r="L561" i="3"/>
  <c r="A562" i="3"/>
  <c r="B562" i="3"/>
  <c r="K562" i="3"/>
  <c r="L562" i="3"/>
  <c r="A563" i="3"/>
  <c r="B563" i="3"/>
  <c r="I563" i="3"/>
  <c r="K563" i="3"/>
  <c r="L563" i="3"/>
  <c r="A564" i="3"/>
  <c r="B564" i="3"/>
  <c r="J564" i="3"/>
  <c r="L564" i="3"/>
  <c r="A565" i="3"/>
  <c r="B565" i="3"/>
  <c r="I565" i="3"/>
  <c r="J565" i="3"/>
  <c r="L565" i="3"/>
  <c r="A566" i="3"/>
  <c r="B566" i="3"/>
  <c r="I566" i="3"/>
  <c r="J566" i="3"/>
  <c r="L566" i="3"/>
  <c r="A567" i="3"/>
  <c r="B567" i="3"/>
  <c r="J567" i="3"/>
  <c r="L567" i="3"/>
  <c r="A568" i="3"/>
  <c r="B568" i="3"/>
  <c r="K568" i="3"/>
  <c r="L568" i="3"/>
  <c r="A569" i="3"/>
  <c r="B569" i="3"/>
  <c r="I569" i="3"/>
  <c r="K569" i="3"/>
  <c r="L569" i="3"/>
  <c r="A570" i="3"/>
  <c r="B570" i="3"/>
  <c r="J570" i="3"/>
  <c r="L570" i="3"/>
  <c r="A571" i="3"/>
  <c r="B571" i="3"/>
  <c r="I571" i="3"/>
  <c r="J571" i="3"/>
  <c r="L571" i="3"/>
  <c r="A572" i="3"/>
  <c r="B572" i="3"/>
  <c r="I572" i="3"/>
  <c r="J572" i="3"/>
  <c r="L572" i="3"/>
  <c r="A573" i="3"/>
  <c r="B573" i="3"/>
  <c r="J573" i="3"/>
  <c r="L573" i="3"/>
  <c r="A574" i="3"/>
  <c r="B574" i="3"/>
  <c r="K574" i="3"/>
  <c r="L574" i="3"/>
  <c r="A575" i="3"/>
  <c r="B575" i="3"/>
  <c r="I575" i="3"/>
  <c r="K575" i="3"/>
  <c r="L575" i="3"/>
  <c r="A576" i="3"/>
  <c r="B576" i="3"/>
  <c r="J576" i="3"/>
  <c r="L576" i="3"/>
  <c r="A577" i="3"/>
  <c r="B577" i="3"/>
  <c r="I577" i="3"/>
  <c r="J577" i="3"/>
  <c r="L577" i="3"/>
  <c r="A578" i="3"/>
  <c r="B578" i="3"/>
  <c r="I578" i="3"/>
  <c r="J578" i="3"/>
  <c r="L578" i="3"/>
  <c r="A579" i="3"/>
  <c r="B579" i="3"/>
  <c r="J579" i="3"/>
  <c r="L579" i="3"/>
  <c r="A580" i="3"/>
  <c r="B580" i="3"/>
  <c r="K580" i="3"/>
  <c r="L580" i="3"/>
  <c r="A581" i="3"/>
  <c r="B581" i="3"/>
  <c r="I581" i="3"/>
  <c r="K581" i="3"/>
  <c r="L581" i="3"/>
  <c r="A582" i="3"/>
  <c r="B582" i="3"/>
  <c r="J582" i="3"/>
  <c r="L582" i="3"/>
  <c r="A583" i="3"/>
  <c r="B583" i="3"/>
  <c r="I583" i="3"/>
  <c r="J583" i="3"/>
  <c r="L583" i="3"/>
  <c r="A584" i="3"/>
  <c r="B584" i="3"/>
  <c r="I584" i="3"/>
  <c r="J584" i="3"/>
  <c r="L584" i="3"/>
  <c r="A585" i="3"/>
  <c r="B585" i="3"/>
  <c r="J585" i="3"/>
  <c r="L585" i="3"/>
  <c r="A586" i="3"/>
  <c r="B586" i="3"/>
  <c r="K586" i="3"/>
  <c r="L586" i="3"/>
  <c r="A587" i="3"/>
  <c r="B587" i="3"/>
  <c r="I587" i="3"/>
  <c r="K587" i="3"/>
  <c r="L587" i="3"/>
  <c r="A588" i="3"/>
  <c r="B588" i="3"/>
  <c r="J588" i="3"/>
  <c r="L588" i="3"/>
  <c r="A589" i="3"/>
  <c r="B589" i="3"/>
  <c r="I589" i="3"/>
  <c r="J589" i="3"/>
  <c r="L589" i="3"/>
  <c r="A590" i="3"/>
  <c r="B590" i="3"/>
  <c r="I590" i="3"/>
  <c r="J590" i="3"/>
  <c r="L590" i="3"/>
  <c r="A591" i="3"/>
  <c r="B591" i="3"/>
  <c r="J591" i="3"/>
  <c r="L591" i="3"/>
  <c r="A592" i="3"/>
  <c r="B592" i="3"/>
  <c r="K592" i="3"/>
  <c r="L592" i="3"/>
  <c r="A593" i="3"/>
  <c r="B593" i="3"/>
  <c r="I593" i="3"/>
  <c r="K593" i="3"/>
  <c r="L593" i="3"/>
  <c r="A594" i="3"/>
  <c r="B594" i="3"/>
  <c r="J594" i="3"/>
  <c r="L594" i="3"/>
  <c r="A595" i="3"/>
  <c r="B595" i="3"/>
  <c r="I595" i="3"/>
  <c r="J595" i="3"/>
  <c r="L595" i="3"/>
  <c r="A596" i="3"/>
  <c r="B596" i="3"/>
  <c r="I596" i="3"/>
  <c r="J596" i="3"/>
  <c r="L596" i="3"/>
  <c r="A597" i="3"/>
  <c r="B597" i="3"/>
  <c r="J597" i="3"/>
  <c r="L597" i="3"/>
  <c r="A598" i="3"/>
  <c r="B598" i="3"/>
  <c r="K598" i="3"/>
  <c r="L598" i="3"/>
  <c r="A599" i="3"/>
  <c r="B599" i="3"/>
  <c r="I599" i="3"/>
  <c r="K599" i="3"/>
  <c r="L599" i="3"/>
  <c r="A600" i="3"/>
  <c r="B600" i="3"/>
  <c r="J600" i="3"/>
  <c r="L600" i="3"/>
  <c r="A601" i="3"/>
  <c r="B601" i="3"/>
  <c r="I601" i="3"/>
  <c r="J601" i="3"/>
  <c r="L601" i="3"/>
  <c r="A602" i="3"/>
  <c r="B602" i="3"/>
  <c r="I602" i="3"/>
  <c r="J602" i="3"/>
  <c r="L602" i="3"/>
  <c r="A603" i="3"/>
  <c r="B603" i="3"/>
  <c r="J603" i="3"/>
  <c r="L603" i="3"/>
  <c r="A604" i="3"/>
  <c r="B604" i="3"/>
  <c r="K604" i="3"/>
  <c r="L604" i="3"/>
  <c r="A605" i="3"/>
  <c r="B605" i="3"/>
  <c r="I605" i="3"/>
  <c r="K605" i="3"/>
  <c r="L605" i="3"/>
  <c r="A606" i="3"/>
  <c r="B606" i="3"/>
  <c r="J606" i="3"/>
  <c r="L606" i="3"/>
  <c r="A607" i="3"/>
  <c r="B607" i="3"/>
  <c r="I607" i="3"/>
  <c r="J607" i="3"/>
  <c r="L607" i="3"/>
  <c r="A608" i="3"/>
  <c r="B608" i="3"/>
  <c r="I608" i="3"/>
  <c r="J608" i="3"/>
  <c r="L608" i="3"/>
  <c r="A609" i="3"/>
  <c r="B609" i="3"/>
  <c r="J609" i="3"/>
  <c r="L609" i="3"/>
  <c r="A610" i="3"/>
  <c r="B610" i="3"/>
  <c r="K610" i="3"/>
  <c r="L610" i="3"/>
  <c r="A611" i="3"/>
  <c r="B611" i="3"/>
  <c r="I611" i="3"/>
  <c r="K611" i="3"/>
  <c r="L611" i="3"/>
  <c r="A612" i="3"/>
  <c r="B612" i="3"/>
  <c r="J612" i="3"/>
  <c r="L612" i="3"/>
  <c r="A613" i="3"/>
  <c r="B613" i="3"/>
  <c r="I613" i="3"/>
  <c r="J613" i="3"/>
  <c r="L613" i="3"/>
  <c r="A614" i="3"/>
  <c r="B614" i="3"/>
  <c r="I614" i="3"/>
  <c r="J614" i="3"/>
  <c r="L614" i="3"/>
  <c r="A615" i="3"/>
  <c r="B615" i="3"/>
  <c r="J615" i="3"/>
  <c r="L615" i="3"/>
  <c r="A616" i="3"/>
  <c r="B616" i="3"/>
  <c r="K616" i="3"/>
  <c r="L616" i="3"/>
  <c r="A617" i="3"/>
  <c r="B617" i="3"/>
  <c r="I617" i="3"/>
  <c r="K617" i="3"/>
  <c r="L617" i="3"/>
  <c r="A618" i="3"/>
  <c r="B618" i="3"/>
  <c r="J618" i="3"/>
  <c r="L618" i="3"/>
  <c r="A619" i="3"/>
  <c r="B619" i="3"/>
  <c r="I619" i="3"/>
  <c r="J619" i="3"/>
  <c r="L619" i="3"/>
  <c r="A620" i="3"/>
  <c r="B620" i="3"/>
  <c r="I620" i="3"/>
  <c r="J620" i="3"/>
  <c r="L620" i="3"/>
  <c r="A621" i="3"/>
  <c r="B621" i="3"/>
  <c r="J621" i="3"/>
  <c r="L621" i="3"/>
  <c r="A622" i="3"/>
  <c r="B622" i="3"/>
  <c r="K622" i="3"/>
  <c r="L622" i="3"/>
  <c r="A623" i="3"/>
  <c r="B623" i="3"/>
  <c r="I623" i="3"/>
  <c r="K623" i="3"/>
  <c r="L623" i="3"/>
  <c r="A624" i="3"/>
  <c r="B624" i="3"/>
  <c r="J624" i="3"/>
  <c r="L624" i="3"/>
  <c r="A625" i="3"/>
  <c r="B625" i="3"/>
  <c r="I625" i="3"/>
  <c r="J625" i="3"/>
  <c r="L625" i="3"/>
  <c r="A626" i="3"/>
  <c r="B626" i="3"/>
  <c r="I626" i="3"/>
  <c r="J626" i="3"/>
  <c r="L626" i="3"/>
  <c r="A377" i="3"/>
  <c r="B377" i="3"/>
  <c r="H377" i="3"/>
  <c r="K377" i="3"/>
  <c r="A378" i="3"/>
  <c r="B378" i="3"/>
  <c r="H378" i="3"/>
  <c r="K378" i="3"/>
  <c r="A379" i="3"/>
  <c r="B379" i="3"/>
  <c r="H379" i="3"/>
  <c r="J379" i="3"/>
  <c r="A380" i="3"/>
  <c r="B380" i="3"/>
  <c r="H380" i="3"/>
  <c r="J380" i="3"/>
  <c r="A381" i="3"/>
  <c r="B381" i="3"/>
  <c r="H381" i="3"/>
  <c r="J381" i="3"/>
  <c r="A382" i="3"/>
  <c r="B382" i="3"/>
  <c r="H382" i="3"/>
  <c r="K382" i="3"/>
  <c r="A383" i="3"/>
  <c r="B383" i="3"/>
  <c r="H383" i="3"/>
  <c r="K383" i="3"/>
  <c r="A384" i="3"/>
  <c r="B384" i="3"/>
  <c r="H384" i="3"/>
  <c r="J384" i="3"/>
  <c r="A385" i="3"/>
  <c r="B385" i="3"/>
  <c r="H385" i="3"/>
  <c r="J385" i="3"/>
  <c r="A386" i="3"/>
  <c r="B386" i="3"/>
  <c r="H386" i="3"/>
  <c r="J386" i="3"/>
  <c r="A387" i="3"/>
  <c r="B387" i="3"/>
  <c r="H387" i="3"/>
  <c r="K387" i="3"/>
  <c r="A388" i="3"/>
  <c r="B388" i="3"/>
  <c r="H388" i="3"/>
  <c r="K388" i="3"/>
  <c r="A389" i="3"/>
  <c r="B389" i="3"/>
  <c r="H389" i="3"/>
  <c r="J389" i="3"/>
  <c r="A390" i="3"/>
  <c r="B390" i="3"/>
  <c r="H390" i="3"/>
  <c r="J390" i="3"/>
  <c r="L390" i="3"/>
  <c r="A391" i="3"/>
  <c r="B391" i="3"/>
  <c r="H391" i="3"/>
  <c r="J391" i="3"/>
  <c r="A392" i="3"/>
  <c r="B392" i="3"/>
  <c r="H392" i="3"/>
  <c r="K392" i="3"/>
  <c r="A393" i="3"/>
  <c r="B393" i="3"/>
  <c r="H393" i="3"/>
  <c r="K393" i="3"/>
  <c r="A394" i="3"/>
  <c r="B394" i="3"/>
  <c r="H394" i="3"/>
  <c r="J394" i="3"/>
  <c r="A395" i="3"/>
  <c r="B395" i="3"/>
  <c r="H395" i="3"/>
  <c r="J395" i="3"/>
  <c r="A396" i="3"/>
  <c r="B396" i="3"/>
  <c r="H396" i="3"/>
  <c r="J396" i="3"/>
  <c r="A397" i="3"/>
  <c r="B397" i="3"/>
  <c r="H397" i="3"/>
  <c r="K397" i="3"/>
  <c r="A398" i="3"/>
  <c r="B398" i="3"/>
  <c r="H398" i="3"/>
  <c r="K398" i="3"/>
  <c r="A399" i="3"/>
  <c r="B399" i="3"/>
  <c r="H399" i="3"/>
  <c r="J399" i="3"/>
  <c r="A400" i="3"/>
  <c r="B400" i="3"/>
  <c r="H400" i="3"/>
  <c r="J400" i="3"/>
  <c r="A401" i="3"/>
  <c r="B401" i="3"/>
  <c r="H401" i="3"/>
  <c r="J401" i="3"/>
  <c r="A402" i="3"/>
  <c r="B402" i="3"/>
  <c r="H402" i="3"/>
  <c r="K402" i="3"/>
  <c r="A403" i="3"/>
  <c r="B403" i="3"/>
  <c r="H403" i="3"/>
  <c r="K403" i="3"/>
  <c r="A404" i="3"/>
  <c r="B404" i="3"/>
  <c r="H404" i="3"/>
  <c r="J404" i="3"/>
  <c r="A405" i="3"/>
  <c r="B405" i="3"/>
  <c r="H405" i="3"/>
  <c r="J405" i="3"/>
  <c r="A406" i="3"/>
  <c r="B406" i="3"/>
  <c r="H406" i="3"/>
  <c r="J406" i="3"/>
  <c r="A407" i="3"/>
  <c r="B407" i="3"/>
  <c r="H407" i="3"/>
  <c r="K407" i="3"/>
  <c r="A408" i="3"/>
  <c r="B408" i="3"/>
  <c r="H408" i="3"/>
  <c r="K408" i="3"/>
  <c r="A409" i="3"/>
  <c r="B409" i="3"/>
  <c r="H409" i="3"/>
  <c r="J409" i="3"/>
  <c r="A410" i="3"/>
  <c r="B410" i="3"/>
  <c r="H410" i="3"/>
  <c r="J410" i="3"/>
  <c r="A411" i="3"/>
  <c r="B411" i="3"/>
  <c r="H411" i="3"/>
  <c r="J411" i="3"/>
  <c r="A412" i="3"/>
  <c r="B412" i="3"/>
  <c r="H412" i="3"/>
  <c r="K412" i="3"/>
  <c r="A413" i="3"/>
  <c r="B413" i="3"/>
  <c r="H413" i="3"/>
  <c r="K413" i="3"/>
  <c r="A414" i="3"/>
  <c r="B414" i="3"/>
  <c r="H414" i="3"/>
  <c r="J414" i="3"/>
  <c r="A415" i="3"/>
  <c r="B415" i="3"/>
  <c r="H415" i="3"/>
  <c r="J415" i="3"/>
  <c r="A416" i="3"/>
  <c r="B416" i="3"/>
  <c r="H416" i="3"/>
  <c r="J416" i="3"/>
  <c r="A417" i="3"/>
  <c r="B417" i="3"/>
  <c r="H417" i="3"/>
  <c r="K417" i="3"/>
  <c r="A418" i="3"/>
  <c r="B418" i="3"/>
  <c r="H418" i="3"/>
  <c r="K418" i="3"/>
  <c r="A419" i="3"/>
  <c r="B419" i="3"/>
  <c r="H419" i="3"/>
  <c r="J419" i="3"/>
  <c r="A420" i="3"/>
  <c r="B420" i="3"/>
  <c r="H420" i="3"/>
  <c r="J420" i="3"/>
  <c r="A421" i="3"/>
  <c r="B421" i="3"/>
  <c r="H421" i="3"/>
  <c r="J421" i="3"/>
  <c r="A422" i="3"/>
  <c r="B422" i="3"/>
  <c r="H422" i="3"/>
  <c r="K422" i="3"/>
  <c r="A423" i="3"/>
  <c r="B423" i="3"/>
  <c r="H423" i="3"/>
  <c r="K423" i="3"/>
  <c r="A424" i="3"/>
  <c r="B424" i="3"/>
  <c r="H424" i="3"/>
  <c r="J424" i="3"/>
  <c r="A425" i="3"/>
  <c r="B425" i="3"/>
  <c r="H425" i="3"/>
  <c r="J425" i="3"/>
  <c r="A426" i="3"/>
  <c r="B426" i="3"/>
  <c r="H426" i="3"/>
  <c r="J426" i="3"/>
  <c r="A427" i="3"/>
  <c r="B427" i="3"/>
  <c r="H427" i="3"/>
  <c r="K427" i="3"/>
  <c r="A428" i="3"/>
  <c r="B428" i="3"/>
  <c r="H428" i="3"/>
  <c r="K428" i="3"/>
  <c r="A429" i="3"/>
  <c r="B429" i="3"/>
  <c r="H429" i="3"/>
  <c r="J429" i="3"/>
  <c r="A430" i="3"/>
  <c r="B430" i="3"/>
  <c r="H430" i="3"/>
  <c r="J430" i="3"/>
  <c r="A431" i="3"/>
  <c r="B431" i="3"/>
  <c r="H431" i="3"/>
  <c r="J431" i="3"/>
  <c r="A432" i="3"/>
  <c r="B432" i="3"/>
  <c r="H432" i="3"/>
  <c r="K432" i="3"/>
  <c r="A433" i="3"/>
  <c r="B433" i="3"/>
  <c r="H433" i="3"/>
  <c r="K433" i="3"/>
  <c r="A434" i="3"/>
  <c r="B434" i="3"/>
  <c r="H434" i="3"/>
  <c r="J434" i="3"/>
  <c r="A435" i="3"/>
  <c r="B435" i="3"/>
  <c r="H435" i="3"/>
  <c r="J435" i="3"/>
  <c r="A436" i="3"/>
  <c r="B436" i="3"/>
  <c r="H436" i="3"/>
  <c r="J436" i="3"/>
  <c r="A437" i="3"/>
  <c r="B437" i="3"/>
  <c r="H437" i="3"/>
  <c r="K437" i="3"/>
  <c r="A438" i="3"/>
  <c r="B438" i="3"/>
  <c r="H438" i="3"/>
  <c r="K438" i="3"/>
  <c r="A439" i="3"/>
  <c r="B439" i="3"/>
  <c r="H439" i="3"/>
  <c r="J439" i="3"/>
  <c r="A440" i="3"/>
  <c r="B440" i="3"/>
  <c r="H440" i="3"/>
  <c r="J440" i="3"/>
  <c r="A441" i="3"/>
  <c r="B441" i="3"/>
  <c r="H441" i="3"/>
  <c r="J441" i="3"/>
  <c r="A442" i="3"/>
  <c r="B442" i="3"/>
  <c r="H442" i="3"/>
  <c r="K442" i="3"/>
  <c r="A443" i="3"/>
  <c r="B443" i="3"/>
  <c r="H443" i="3"/>
  <c r="K443" i="3"/>
  <c r="A444" i="3"/>
  <c r="B444" i="3"/>
  <c r="H444" i="3"/>
  <c r="J444" i="3"/>
  <c r="A445" i="3"/>
  <c r="B445" i="3"/>
  <c r="H445" i="3"/>
  <c r="J445" i="3"/>
  <c r="A446" i="3"/>
  <c r="B446" i="3"/>
  <c r="H446" i="3"/>
  <c r="J446" i="3"/>
  <c r="A447" i="3"/>
  <c r="B447" i="3"/>
  <c r="H447" i="3"/>
  <c r="K447" i="3"/>
  <c r="A448" i="3"/>
  <c r="B448" i="3"/>
  <c r="H448" i="3"/>
  <c r="K448" i="3"/>
  <c r="A449" i="3"/>
  <c r="B449" i="3"/>
  <c r="H449" i="3"/>
  <c r="J449" i="3"/>
  <c r="A450" i="3"/>
  <c r="B450" i="3"/>
  <c r="H450" i="3"/>
  <c r="J450" i="3"/>
  <c r="A451" i="3"/>
  <c r="B451" i="3"/>
  <c r="H451" i="3"/>
  <c r="J451" i="3"/>
  <c r="A452" i="3"/>
  <c r="B452" i="3"/>
  <c r="H452" i="3"/>
  <c r="K452" i="3"/>
  <c r="A453" i="3"/>
  <c r="B453" i="3"/>
  <c r="H453" i="3"/>
  <c r="K453" i="3"/>
  <c r="A454" i="3"/>
  <c r="B454" i="3"/>
  <c r="H454" i="3"/>
  <c r="J454" i="3"/>
  <c r="A455" i="3"/>
  <c r="B455" i="3"/>
  <c r="H455" i="3"/>
  <c r="J455" i="3"/>
  <c r="A456" i="3"/>
  <c r="B456" i="3"/>
  <c r="H456" i="3"/>
  <c r="J456" i="3"/>
  <c r="A457" i="3"/>
  <c r="B457" i="3"/>
  <c r="H457" i="3"/>
  <c r="K457" i="3"/>
  <c r="A458" i="3"/>
  <c r="B458" i="3"/>
  <c r="H458" i="3"/>
  <c r="K458" i="3"/>
  <c r="A459" i="3"/>
  <c r="B459" i="3"/>
  <c r="H459" i="3"/>
  <c r="J459" i="3"/>
  <c r="A460" i="3"/>
  <c r="B460" i="3"/>
  <c r="H460" i="3"/>
  <c r="J460" i="3"/>
  <c r="A461" i="3"/>
  <c r="B461" i="3"/>
  <c r="H461" i="3"/>
  <c r="J461" i="3"/>
  <c r="A462" i="3"/>
  <c r="B462" i="3"/>
  <c r="H462" i="3"/>
  <c r="K462" i="3"/>
  <c r="A463" i="3"/>
  <c r="B463" i="3"/>
  <c r="H463" i="3"/>
  <c r="K463" i="3"/>
  <c r="L463" i="3"/>
  <c r="A464" i="3"/>
  <c r="B464" i="3"/>
  <c r="H464" i="3"/>
  <c r="J464" i="3"/>
  <c r="A465" i="3"/>
  <c r="B465" i="3"/>
  <c r="H465" i="3"/>
  <c r="J465" i="3"/>
  <c r="A466" i="3"/>
  <c r="B466" i="3"/>
  <c r="H466" i="3"/>
  <c r="J466" i="3"/>
  <c r="A467" i="3"/>
  <c r="B467" i="3"/>
  <c r="H467" i="3"/>
  <c r="K467" i="3"/>
  <c r="A468" i="3"/>
  <c r="B468" i="3"/>
  <c r="H468" i="3"/>
  <c r="K468" i="3"/>
  <c r="A469" i="3"/>
  <c r="B469" i="3"/>
  <c r="H469" i="3"/>
  <c r="J469" i="3"/>
  <c r="A470" i="3"/>
  <c r="B470" i="3"/>
  <c r="H470" i="3"/>
  <c r="J470" i="3"/>
  <c r="A471" i="3"/>
  <c r="B471" i="3"/>
  <c r="H471" i="3"/>
  <c r="J471" i="3"/>
  <c r="A472" i="3"/>
  <c r="B472" i="3"/>
  <c r="H472" i="3"/>
  <c r="K472" i="3"/>
  <c r="A473" i="3"/>
  <c r="B473" i="3"/>
  <c r="H473" i="3"/>
  <c r="K473" i="3"/>
  <c r="A474" i="3"/>
  <c r="B474" i="3"/>
  <c r="H474" i="3"/>
  <c r="J474" i="3"/>
  <c r="A475" i="3"/>
  <c r="B475" i="3"/>
  <c r="H475" i="3"/>
  <c r="J475" i="3"/>
  <c r="A476" i="3"/>
  <c r="B476" i="3"/>
  <c r="H476" i="3"/>
  <c r="J476" i="3"/>
  <c r="A477" i="3"/>
  <c r="B477" i="3"/>
  <c r="H477" i="3"/>
  <c r="K477" i="3"/>
  <c r="A478" i="3"/>
  <c r="B478" i="3"/>
  <c r="H478" i="3"/>
  <c r="K478" i="3"/>
  <c r="A479" i="3"/>
  <c r="B479" i="3"/>
  <c r="H479" i="3"/>
  <c r="J479" i="3"/>
  <c r="A480" i="3"/>
  <c r="B480" i="3"/>
  <c r="H480" i="3"/>
  <c r="J480" i="3"/>
  <c r="A481" i="3"/>
  <c r="B481" i="3"/>
  <c r="H481" i="3"/>
  <c r="J481" i="3"/>
  <c r="A482" i="3"/>
  <c r="B482" i="3"/>
  <c r="H482" i="3"/>
  <c r="K482" i="3"/>
  <c r="A483" i="3"/>
  <c r="B483" i="3"/>
  <c r="H483" i="3"/>
  <c r="K483" i="3"/>
  <c r="A484" i="3"/>
  <c r="B484" i="3"/>
  <c r="H484" i="3"/>
  <c r="J484" i="3"/>
  <c r="A485" i="3"/>
  <c r="B485" i="3"/>
  <c r="H485" i="3"/>
  <c r="J485" i="3"/>
  <c r="A486" i="3"/>
  <c r="B486" i="3"/>
  <c r="H486" i="3"/>
  <c r="J486" i="3"/>
  <c r="L486" i="3"/>
  <c r="A487" i="3"/>
  <c r="B487" i="3"/>
  <c r="H487" i="3"/>
  <c r="K487" i="3"/>
  <c r="A488" i="3"/>
  <c r="B488" i="3"/>
  <c r="H488" i="3"/>
  <c r="K488" i="3"/>
  <c r="A489" i="3"/>
  <c r="B489" i="3"/>
  <c r="H489" i="3"/>
  <c r="J489" i="3"/>
  <c r="A490" i="3"/>
  <c r="B490" i="3"/>
  <c r="H490" i="3"/>
  <c r="J490" i="3"/>
  <c r="A491" i="3"/>
  <c r="B491" i="3"/>
  <c r="H491" i="3"/>
  <c r="J491" i="3"/>
  <c r="A492" i="3"/>
  <c r="B492" i="3"/>
  <c r="H492" i="3"/>
  <c r="K492" i="3"/>
  <c r="L492" i="3"/>
  <c r="A493" i="3"/>
  <c r="B493" i="3"/>
  <c r="H493" i="3"/>
  <c r="K493" i="3"/>
  <c r="A494" i="3"/>
  <c r="B494" i="3"/>
  <c r="H494" i="3"/>
  <c r="J494" i="3"/>
  <c r="A495" i="3"/>
  <c r="B495" i="3"/>
  <c r="H495" i="3"/>
  <c r="J495" i="3"/>
  <c r="A496" i="3"/>
  <c r="B496" i="3"/>
  <c r="H496" i="3"/>
  <c r="J496" i="3"/>
  <c r="A497" i="3"/>
  <c r="B497" i="3"/>
  <c r="H497" i="3"/>
  <c r="K497" i="3"/>
  <c r="A498" i="3"/>
  <c r="B498" i="3"/>
  <c r="H498" i="3"/>
  <c r="K498" i="3"/>
  <c r="A499" i="3"/>
  <c r="B499" i="3"/>
  <c r="H499" i="3"/>
  <c r="J499" i="3"/>
  <c r="A500" i="3"/>
  <c r="B500" i="3"/>
  <c r="H500" i="3"/>
  <c r="J500" i="3"/>
  <c r="A501" i="3"/>
  <c r="B501" i="3"/>
  <c r="H501" i="3"/>
  <c r="J501" i="3"/>
  <c r="A252" i="3"/>
  <c r="B252" i="3"/>
  <c r="H252" i="3"/>
  <c r="K252" i="3"/>
  <c r="A253" i="3"/>
  <c r="B253" i="3"/>
  <c r="H253" i="3"/>
  <c r="K253" i="3"/>
  <c r="A254" i="3"/>
  <c r="B254" i="3"/>
  <c r="H254" i="3"/>
  <c r="J254" i="3"/>
  <c r="A255" i="3"/>
  <c r="B255" i="3"/>
  <c r="H255" i="3"/>
  <c r="J255" i="3"/>
  <c r="A256" i="3"/>
  <c r="B256" i="3"/>
  <c r="H256" i="3"/>
  <c r="J256" i="3"/>
  <c r="A257" i="3"/>
  <c r="B257" i="3"/>
  <c r="H257" i="3"/>
  <c r="K257" i="3"/>
  <c r="A258" i="3"/>
  <c r="B258" i="3"/>
  <c r="H258" i="3"/>
  <c r="K258" i="3"/>
  <c r="A259" i="3"/>
  <c r="B259" i="3"/>
  <c r="H259" i="3"/>
  <c r="J259" i="3"/>
  <c r="A260" i="3"/>
  <c r="B260" i="3"/>
  <c r="H260" i="3"/>
  <c r="J260" i="3"/>
  <c r="A261" i="3"/>
  <c r="B261" i="3"/>
  <c r="H261" i="3"/>
  <c r="J261" i="3"/>
  <c r="A262" i="3"/>
  <c r="B262" i="3"/>
  <c r="H262" i="3"/>
  <c r="K262" i="3"/>
  <c r="A263" i="3"/>
  <c r="B263" i="3"/>
  <c r="H263" i="3"/>
  <c r="K263" i="3"/>
  <c r="A264" i="3"/>
  <c r="B264" i="3"/>
  <c r="H264" i="3"/>
  <c r="J264" i="3"/>
  <c r="A265" i="3"/>
  <c r="B265" i="3"/>
  <c r="H265" i="3"/>
  <c r="J265" i="3"/>
  <c r="A266" i="3"/>
  <c r="B266" i="3"/>
  <c r="H266" i="3"/>
  <c r="J266" i="3"/>
  <c r="A267" i="3"/>
  <c r="B267" i="3"/>
  <c r="H267" i="3"/>
  <c r="K267" i="3"/>
  <c r="A268" i="3"/>
  <c r="B268" i="3"/>
  <c r="H268" i="3"/>
  <c r="K268" i="3"/>
  <c r="A269" i="3"/>
  <c r="B269" i="3"/>
  <c r="H269" i="3"/>
  <c r="J269" i="3"/>
  <c r="A270" i="3"/>
  <c r="B270" i="3"/>
  <c r="H270" i="3"/>
  <c r="J270" i="3"/>
  <c r="A271" i="3"/>
  <c r="B271" i="3"/>
  <c r="H271" i="3"/>
  <c r="J271" i="3"/>
  <c r="L271" i="3"/>
  <c r="A272" i="3"/>
  <c r="B272" i="3"/>
  <c r="H272" i="3"/>
  <c r="K272" i="3"/>
  <c r="A273" i="3"/>
  <c r="B273" i="3"/>
  <c r="H273" i="3"/>
  <c r="K273" i="3"/>
  <c r="A274" i="3"/>
  <c r="B274" i="3"/>
  <c r="H274" i="3"/>
  <c r="J274" i="3"/>
  <c r="A275" i="3"/>
  <c r="B275" i="3"/>
  <c r="H275" i="3"/>
  <c r="J275" i="3"/>
  <c r="A276" i="3"/>
  <c r="B276" i="3"/>
  <c r="H276" i="3"/>
  <c r="J276" i="3"/>
  <c r="A277" i="3"/>
  <c r="B277" i="3"/>
  <c r="H277" i="3"/>
  <c r="K277" i="3"/>
  <c r="A278" i="3"/>
  <c r="B278" i="3"/>
  <c r="H278" i="3"/>
  <c r="K278" i="3"/>
  <c r="A279" i="3"/>
  <c r="B279" i="3"/>
  <c r="H279" i="3"/>
  <c r="J279" i="3"/>
  <c r="A280" i="3"/>
  <c r="B280" i="3"/>
  <c r="H280" i="3"/>
  <c r="J280" i="3"/>
  <c r="A281" i="3"/>
  <c r="B281" i="3"/>
  <c r="H281" i="3"/>
  <c r="J281" i="3"/>
  <c r="A282" i="3"/>
  <c r="B282" i="3"/>
  <c r="H282" i="3"/>
  <c r="K282" i="3"/>
  <c r="A283" i="3"/>
  <c r="B283" i="3"/>
  <c r="H283" i="3"/>
  <c r="K283" i="3"/>
  <c r="A284" i="3"/>
  <c r="B284" i="3"/>
  <c r="H284" i="3"/>
  <c r="J284" i="3"/>
  <c r="A285" i="3"/>
  <c r="B285" i="3"/>
  <c r="H285" i="3"/>
  <c r="J285" i="3"/>
  <c r="A286" i="3"/>
  <c r="B286" i="3"/>
  <c r="H286" i="3"/>
  <c r="J286" i="3"/>
  <c r="A287" i="3"/>
  <c r="B287" i="3"/>
  <c r="H287" i="3"/>
  <c r="K287" i="3"/>
  <c r="A288" i="3"/>
  <c r="B288" i="3"/>
  <c r="H288" i="3"/>
  <c r="K288" i="3"/>
  <c r="A289" i="3"/>
  <c r="B289" i="3"/>
  <c r="H289" i="3"/>
  <c r="J289" i="3"/>
  <c r="A290" i="3"/>
  <c r="B290" i="3"/>
  <c r="H290" i="3"/>
  <c r="J290" i="3"/>
  <c r="A291" i="3"/>
  <c r="B291" i="3"/>
  <c r="H291" i="3"/>
  <c r="J291" i="3"/>
  <c r="A292" i="3"/>
  <c r="B292" i="3"/>
  <c r="H292" i="3"/>
  <c r="K292" i="3"/>
  <c r="A293" i="3"/>
  <c r="B293" i="3"/>
  <c r="H293" i="3"/>
  <c r="K293" i="3"/>
  <c r="A294" i="3"/>
  <c r="B294" i="3"/>
  <c r="H294" i="3"/>
  <c r="J294" i="3"/>
  <c r="A295" i="3"/>
  <c r="B295" i="3"/>
  <c r="H295" i="3"/>
  <c r="J295" i="3"/>
  <c r="A296" i="3"/>
  <c r="B296" i="3"/>
  <c r="H296" i="3"/>
  <c r="J296" i="3"/>
  <c r="A297" i="3"/>
  <c r="B297" i="3"/>
  <c r="H297" i="3"/>
  <c r="K297" i="3"/>
  <c r="A298" i="3"/>
  <c r="B298" i="3"/>
  <c r="H298" i="3"/>
  <c r="K298" i="3"/>
  <c r="A299" i="3"/>
  <c r="B299" i="3"/>
  <c r="H299" i="3"/>
  <c r="J299" i="3"/>
  <c r="A300" i="3"/>
  <c r="B300" i="3"/>
  <c r="H300" i="3"/>
  <c r="J300" i="3"/>
  <c r="L300" i="3"/>
  <c r="A301" i="3"/>
  <c r="B301" i="3"/>
  <c r="H301" i="3"/>
  <c r="J301" i="3"/>
  <c r="A302" i="3"/>
  <c r="B302" i="3"/>
  <c r="H302" i="3"/>
  <c r="K302" i="3"/>
  <c r="A303" i="3"/>
  <c r="B303" i="3"/>
  <c r="H303" i="3"/>
  <c r="K303" i="3"/>
  <c r="A304" i="3"/>
  <c r="B304" i="3"/>
  <c r="H304" i="3"/>
  <c r="J304" i="3"/>
  <c r="A305" i="3"/>
  <c r="B305" i="3"/>
  <c r="H305" i="3"/>
  <c r="J305" i="3"/>
  <c r="A306" i="3"/>
  <c r="B306" i="3"/>
  <c r="H306" i="3"/>
  <c r="J306" i="3"/>
  <c r="A307" i="3"/>
  <c r="B307" i="3"/>
  <c r="H307" i="3"/>
  <c r="K307" i="3"/>
  <c r="A308" i="3"/>
  <c r="B308" i="3"/>
  <c r="H308" i="3"/>
  <c r="K308" i="3"/>
  <c r="A309" i="3"/>
  <c r="B309" i="3"/>
  <c r="H309" i="3"/>
  <c r="J309" i="3"/>
  <c r="A310" i="3"/>
  <c r="B310" i="3"/>
  <c r="H310" i="3"/>
  <c r="J310" i="3"/>
  <c r="A311" i="3"/>
  <c r="B311" i="3"/>
  <c r="H311" i="3"/>
  <c r="J311" i="3"/>
  <c r="A312" i="3"/>
  <c r="B312" i="3"/>
  <c r="H312" i="3"/>
  <c r="K312" i="3"/>
  <c r="A313" i="3"/>
  <c r="B313" i="3"/>
  <c r="H313" i="3"/>
  <c r="K313" i="3"/>
  <c r="A314" i="3"/>
  <c r="B314" i="3"/>
  <c r="H314" i="3"/>
  <c r="J314" i="3"/>
  <c r="A315" i="3"/>
  <c r="B315" i="3"/>
  <c r="H315" i="3"/>
  <c r="J315" i="3"/>
  <c r="A316" i="3"/>
  <c r="B316" i="3"/>
  <c r="H316" i="3"/>
  <c r="J316" i="3"/>
  <c r="A317" i="3"/>
  <c r="B317" i="3"/>
  <c r="H317" i="3"/>
  <c r="K317" i="3"/>
  <c r="A318" i="3"/>
  <c r="B318" i="3"/>
  <c r="H318" i="3"/>
  <c r="K318" i="3"/>
  <c r="A319" i="3"/>
  <c r="B319" i="3"/>
  <c r="H319" i="3"/>
  <c r="J319" i="3"/>
  <c r="A320" i="3"/>
  <c r="B320" i="3"/>
  <c r="H320" i="3"/>
  <c r="J320" i="3"/>
  <c r="A321" i="3"/>
  <c r="B321" i="3"/>
  <c r="H321" i="3"/>
  <c r="J321" i="3"/>
  <c r="A322" i="3"/>
  <c r="B322" i="3"/>
  <c r="H322" i="3"/>
  <c r="K322" i="3"/>
  <c r="A323" i="3"/>
  <c r="B323" i="3"/>
  <c r="H323" i="3"/>
  <c r="K323" i="3"/>
  <c r="A324" i="3"/>
  <c r="B324" i="3"/>
  <c r="H324" i="3"/>
  <c r="J324" i="3"/>
  <c r="A325" i="3"/>
  <c r="B325" i="3"/>
  <c r="H325" i="3"/>
  <c r="J325" i="3"/>
  <c r="A326" i="3"/>
  <c r="B326" i="3"/>
  <c r="H326" i="3"/>
  <c r="J326" i="3"/>
  <c r="A327" i="3"/>
  <c r="B327" i="3"/>
  <c r="H327" i="3"/>
  <c r="K327" i="3"/>
  <c r="A328" i="3"/>
  <c r="B328" i="3"/>
  <c r="H328" i="3"/>
  <c r="K328" i="3"/>
  <c r="A329" i="3"/>
  <c r="B329" i="3"/>
  <c r="H329" i="3"/>
  <c r="J329" i="3"/>
  <c r="A330" i="3"/>
  <c r="B330" i="3"/>
  <c r="H330" i="3"/>
  <c r="J330" i="3"/>
  <c r="A331" i="3"/>
  <c r="B331" i="3"/>
  <c r="H331" i="3"/>
  <c r="J331" i="3"/>
  <c r="A332" i="3"/>
  <c r="B332" i="3"/>
  <c r="H332" i="3"/>
  <c r="K332" i="3"/>
  <c r="A333" i="3"/>
  <c r="B333" i="3"/>
  <c r="H333" i="3"/>
  <c r="K333" i="3"/>
  <c r="A334" i="3"/>
  <c r="B334" i="3"/>
  <c r="H334" i="3"/>
  <c r="J334" i="3"/>
  <c r="A335" i="3"/>
  <c r="B335" i="3"/>
  <c r="H335" i="3"/>
  <c r="J335" i="3"/>
  <c r="A336" i="3"/>
  <c r="B336" i="3"/>
  <c r="H336" i="3"/>
  <c r="J336" i="3"/>
  <c r="A337" i="3"/>
  <c r="B337" i="3"/>
  <c r="H337" i="3"/>
  <c r="K337" i="3"/>
  <c r="A338" i="3"/>
  <c r="B338" i="3"/>
  <c r="H338" i="3"/>
  <c r="K338" i="3"/>
  <c r="A339" i="3"/>
  <c r="B339" i="3"/>
  <c r="H339" i="3"/>
  <c r="J339" i="3"/>
  <c r="A340" i="3"/>
  <c r="B340" i="3"/>
  <c r="H340" i="3"/>
  <c r="J340" i="3"/>
  <c r="A341" i="3"/>
  <c r="B341" i="3"/>
  <c r="H341" i="3"/>
  <c r="J341" i="3"/>
  <c r="A342" i="3"/>
  <c r="B342" i="3"/>
  <c r="H342" i="3"/>
  <c r="K342" i="3"/>
  <c r="A343" i="3"/>
  <c r="B343" i="3"/>
  <c r="H343" i="3"/>
  <c r="K343" i="3"/>
  <c r="A344" i="3"/>
  <c r="B344" i="3"/>
  <c r="H344" i="3"/>
  <c r="J344" i="3"/>
  <c r="A345" i="3"/>
  <c r="B345" i="3"/>
  <c r="H345" i="3"/>
  <c r="J345" i="3"/>
  <c r="A346" i="3"/>
  <c r="B346" i="3"/>
  <c r="H346" i="3"/>
  <c r="J346" i="3"/>
  <c r="A347" i="3"/>
  <c r="B347" i="3"/>
  <c r="H347" i="3"/>
  <c r="K347" i="3"/>
  <c r="A348" i="3"/>
  <c r="B348" i="3"/>
  <c r="H348" i="3"/>
  <c r="K348" i="3"/>
  <c r="A349" i="3"/>
  <c r="B349" i="3"/>
  <c r="H349" i="3"/>
  <c r="J349" i="3"/>
  <c r="A350" i="3"/>
  <c r="B350" i="3"/>
  <c r="H350" i="3"/>
  <c r="J350" i="3"/>
  <c r="A351" i="3"/>
  <c r="B351" i="3"/>
  <c r="H351" i="3"/>
  <c r="J351" i="3"/>
  <c r="A352" i="3"/>
  <c r="B352" i="3"/>
  <c r="H352" i="3"/>
  <c r="K352" i="3"/>
  <c r="A353" i="3"/>
  <c r="B353" i="3"/>
  <c r="H353" i="3"/>
  <c r="K353" i="3"/>
  <c r="A354" i="3"/>
  <c r="B354" i="3"/>
  <c r="H354" i="3"/>
  <c r="J354" i="3"/>
  <c r="A355" i="3"/>
  <c r="B355" i="3"/>
  <c r="H355" i="3"/>
  <c r="J355" i="3"/>
  <c r="A356" i="3"/>
  <c r="B356" i="3"/>
  <c r="H356" i="3"/>
  <c r="J356" i="3"/>
  <c r="A357" i="3"/>
  <c r="B357" i="3"/>
  <c r="H357" i="3"/>
  <c r="K357" i="3"/>
  <c r="A358" i="3"/>
  <c r="B358" i="3"/>
  <c r="H358" i="3"/>
  <c r="K358" i="3"/>
  <c r="A359" i="3"/>
  <c r="B359" i="3"/>
  <c r="H359" i="3"/>
  <c r="J359" i="3"/>
  <c r="A360" i="3"/>
  <c r="B360" i="3"/>
  <c r="H360" i="3"/>
  <c r="J360" i="3"/>
  <c r="A361" i="3"/>
  <c r="B361" i="3"/>
  <c r="H361" i="3"/>
  <c r="J361" i="3"/>
  <c r="A362" i="3"/>
  <c r="B362" i="3"/>
  <c r="H362" i="3"/>
  <c r="K362" i="3"/>
  <c r="A363" i="3"/>
  <c r="B363" i="3"/>
  <c r="H363" i="3"/>
  <c r="K363" i="3"/>
  <c r="A364" i="3"/>
  <c r="B364" i="3"/>
  <c r="H364" i="3"/>
  <c r="J364" i="3"/>
  <c r="A365" i="3"/>
  <c r="B365" i="3"/>
  <c r="H365" i="3"/>
  <c r="J365" i="3"/>
  <c r="A366" i="3"/>
  <c r="B366" i="3"/>
  <c r="H366" i="3"/>
  <c r="J366" i="3"/>
  <c r="A367" i="3"/>
  <c r="B367" i="3"/>
  <c r="H367" i="3"/>
  <c r="K367" i="3"/>
  <c r="A368" i="3"/>
  <c r="B368" i="3"/>
  <c r="H368" i="3"/>
  <c r="K368" i="3"/>
  <c r="A369" i="3"/>
  <c r="B369" i="3"/>
  <c r="H369" i="3"/>
  <c r="J369" i="3"/>
  <c r="A370" i="3"/>
  <c r="B370" i="3"/>
  <c r="H370" i="3"/>
  <c r="J370" i="3"/>
  <c r="A371" i="3"/>
  <c r="B371" i="3"/>
  <c r="H371" i="3"/>
  <c r="J371" i="3"/>
  <c r="A372" i="3"/>
  <c r="B372" i="3"/>
  <c r="H372" i="3"/>
  <c r="K372" i="3"/>
  <c r="A373" i="3"/>
  <c r="B373" i="3"/>
  <c r="H373" i="3"/>
  <c r="K373" i="3"/>
  <c r="L373" i="3"/>
  <c r="A374" i="3"/>
  <c r="B374" i="3"/>
  <c r="H374" i="3"/>
  <c r="J374" i="3"/>
  <c r="A375" i="3"/>
  <c r="B375" i="3"/>
  <c r="H375" i="3"/>
  <c r="J375" i="3"/>
  <c r="A376" i="3"/>
  <c r="B376" i="3"/>
  <c r="H376" i="3"/>
  <c r="J376" i="3"/>
  <c r="A127" i="3"/>
  <c r="B127" i="3"/>
  <c r="H127" i="3"/>
  <c r="K127" i="3"/>
  <c r="A128" i="3"/>
  <c r="B128" i="3"/>
  <c r="H128" i="3"/>
  <c r="K128" i="3"/>
  <c r="A129" i="3"/>
  <c r="B129" i="3"/>
  <c r="H129" i="3"/>
  <c r="J129" i="3"/>
  <c r="A130" i="3"/>
  <c r="B130" i="3"/>
  <c r="H130" i="3"/>
  <c r="J130" i="3"/>
  <c r="A131" i="3"/>
  <c r="B131" i="3"/>
  <c r="H131" i="3"/>
  <c r="J131" i="3"/>
  <c r="A132" i="3"/>
  <c r="B132" i="3"/>
  <c r="H132" i="3"/>
  <c r="K132" i="3"/>
  <c r="A133" i="3"/>
  <c r="B133" i="3"/>
  <c r="H133" i="3"/>
  <c r="K133" i="3"/>
  <c r="A134" i="3"/>
  <c r="B134" i="3"/>
  <c r="H134" i="3"/>
  <c r="J134" i="3"/>
  <c r="A135" i="3"/>
  <c r="B135" i="3"/>
  <c r="H135" i="3"/>
  <c r="J135" i="3"/>
  <c r="A136" i="3"/>
  <c r="B136" i="3"/>
  <c r="H136" i="3"/>
  <c r="J136" i="3"/>
  <c r="A137" i="3"/>
  <c r="B137" i="3"/>
  <c r="H137" i="3"/>
  <c r="K137" i="3"/>
  <c r="A138" i="3"/>
  <c r="B138" i="3"/>
  <c r="H138" i="3"/>
  <c r="K138" i="3"/>
  <c r="A139" i="3"/>
  <c r="B139" i="3"/>
  <c r="H139" i="3"/>
  <c r="J139" i="3"/>
  <c r="A140" i="3"/>
  <c r="B140" i="3"/>
  <c r="H140" i="3"/>
  <c r="J140" i="3"/>
  <c r="A141" i="3"/>
  <c r="B141" i="3"/>
  <c r="H141" i="3"/>
  <c r="J141" i="3"/>
  <c r="A142" i="3"/>
  <c r="B142" i="3"/>
  <c r="H142" i="3"/>
  <c r="K142" i="3"/>
  <c r="A143" i="3"/>
  <c r="B143" i="3"/>
  <c r="H143" i="3"/>
  <c r="K143" i="3"/>
  <c r="A144" i="3"/>
  <c r="B144" i="3"/>
  <c r="H144" i="3"/>
  <c r="J144" i="3"/>
  <c r="A145" i="3"/>
  <c r="B145" i="3"/>
  <c r="H145" i="3"/>
  <c r="J145" i="3"/>
  <c r="A146" i="3"/>
  <c r="B146" i="3"/>
  <c r="H146" i="3"/>
  <c r="J146" i="3"/>
  <c r="L146" i="3"/>
  <c r="A147" i="3"/>
  <c r="B147" i="3"/>
  <c r="H147" i="3"/>
  <c r="K147" i="3"/>
  <c r="A148" i="3"/>
  <c r="B148" i="3"/>
  <c r="H148" i="3"/>
  <c r="K148" i="3"/>
  <c r="A149" i="3"/>
  <c r="B149" i="3"/>
  <c r="H149" i="3"/>
  <c r="J149" i="3"/>
  <c r="A150" i="3"/>
  <c r="B150" i="3"/>
  <c r="H150" i="3"/>
  <c r="J150" i="3"/>
  <c r="A151" i="3"/>
  <c r="B151" i="3"/>
  <c r="H151" i="3"/>
  <c r="J151" i="3"/>
  <c r="A152" i="3"/>
  <c r="B152" i="3"/>
  <c r="H152" i="3"/>
  <c r="K152" i="3"/>
  <c r="L152" i="3"/>
  <c r="A153" i="3"/>
  <c r="B153" i="3"/>
  <c r="H153" i="3"/>
  <c r="K153" i="3"/>
  <c r="A154" i="3"/>
  <c r="B154" i="3"/>
  <c r="H154" i="3"/>
  <c r="J154" i="3"/>
  <c r="A155" i="3"/>
  <c r="B155" i="3"/>
  <c r="H155" i="3"/>
  <c r="J155" i="3"/>
  <c r="A156" i="3"/>
  <c r="B156" i="3"/>
  <c r="H156" i="3"/>
  <c r="J156" i="3"/>
  <c r="A157" i="3"/>
  <c r="B157" i="3"/>
  <c r="H157" i="3"/>
  <c r="K157" i="3"/>
  <c r="A158" i="3"/>
  <c r="B158" i="3"/>
  <c r="H158" i="3"/>
  <c r="K158" i="3"/>
  <c r="A159" i="3"/>
  <c r="B159" i="3"/>
  <c r="H159" i="3"/>
  <c r="J159" i="3"/>
  <c r="A160" i="3"/>
  <c r="B160" i="3"/>
  <c r="H160" i="3"/>
  <c r="J160" i="3"/>
  <c r="A161" i="3"/>
  <c r="B161" i="3"/>
  <c r="H161" i="3"/>
  <c r="J161" i="3"/>
  <c r="A162" i="3"/>
  <c r="B162" i="3"/>
  <c r="H162" i="3"/>
  <c r="K162" i="3"/>
  <c r="A163" i="3"/>
  <c r="B163" i="3"/>
  <c r="H163" i="3"/>
  <c r="K163" i="3"/>
  <c r="A164" i="3"/>
  <c r="B164" i="3"/>
  <c r="H164" i="3"/>
  <c r="J164" i="3"/>
  <c r="A165" i="3"/>
  <c r="B165" i="3"/>
  <c r="H165" i="3"/>
  <c r="J165" i="3"/>
  <c r="A166" i="3"/>
  <c r="B166" i="3"/>
  <c r="H166" i="3"/>
  <c r="J166" i="3"/>
  <c r="A167" i="3"/>
  <c r="B167" i="3"/>
  <c r="H167" i="3"/>
  <c r="K167" i="3"/>
  <c r="A168" i="3"/>
  <c r="B168" i="3"/>
  <c r="H168" i="3"/>
  <c r="K168" i="3"/>
  <c r="A169" i="3"/>
  <c r="B169" i="3"/>
  <c r="H169" i="3"/>
  <c r="J169" i="3"/>
  <c r="A170" i="3"/>
  <c r="B170" i="3"/>
  <c r="H170" i="3"/>
  <c r="J170" i="3"/>
  <c r="A171" i="3"/>
  <c r="B171" i="3"/>
  <c r="H171" i="3"/>
  <c r="J171" i="3"/>
  <c r="A172" i="3"/>
  <c r="B172" i="3"/>
  <c r="H172" i="3"/>
  <c r="K172" i="3"/>
  <c r="A173" i="3"/>
  <c r="B173" i="3"/>
  <c r="H173" i="3"/>
  <c r="I173" i="3"/>
  <c r="K173" i="3"/>
  <c r="A174" i="3"/>
  <c r="B174" i="3"/>
  <c r="H174" i="3"/>
  <c r="J174" i="3"/>
  <c r="A175" i="3"/>
  <c r="B175" i="3"/>
  <c r="H175" i="3"/>
  <c r="J175" i="3"/>
  <c r="A176" i="3"/>
  <c r="B176" i="3"/>
  <c r="H176" i="3"/>
  <c r="J176" i="3"/>
  <c r="A177" i="3"/>
  <c r="B177" i="3"/>
  <c r="H177" i="3"/>
  <c r="K177" i="3"/>
  <c r="A178" i="3"/>
  <c r="B178" i="3"/>
  <c r="H178" i="3"/>
  <c r="K178" i="3"/>
  <c r="A179" i="3"/>
  <c r="B179" i="3"/>
  <c r="H179" i="3"/>
  <c r="J179" i="3"/>
  <c r="A180" i="3"/>
  <c r="B180" i="3"/>
  <c r="H180" i="3"/>
  <c r="J180" i="3"/>
  <c r="A181" i="3"/>
  <c r="B181" i="3"/>
  <c r="H181" i="3"/>
  <c r="J181" i="3"/>
  <c r="L181" i="3"/>
  <c r="A182" i="3"/>
  <c r="B182" i="3"/>
  <c r="H182" i="3"/>
  <c r="K182" i="3"/>
  <c r="A183" i="3"/>
  <c r="B183" i="3"/>
  <c r="H183" i="3"/>
  <c r="K183" i="3"/>
  <c r="A184" i="3"/>
  <c r="B184" i="3"/>
  <c r="H184" i="3"/>
  <c r="J184" i="3"/>
  <c r="A185" i="3"/>
  <c r="B185" i="3"/>
  <c r="H185" i="3"/>
  <c r="J185" i="3"/>
  <c r="A186" i="3"/>
  <c r="B186" i="3"/>
  <c r="H186" i="3"/>
  <c r="J186" i="3"/>
  <c r="A187" i="3"/>
  <c r="B187" i="3"/>
  <c r="H187" i="3"/>
  <c r="K187" i="3"/>
  <c r="A188" i="3"/>
  <c r="B188" i="3"/>
  <c r="H188" i="3"/>
  <c r="K188" i="3"/>
  <c r="A189" i="3"/>
  <c r="B189" i="3"/>
  <c r="H189" i="3"/>
  <c r="J189" i="3"/>
  <c r="A190" i="3"/>
  <c r="B190" i="3"/>
  <c r="H190" i="3"/>
  <c r="J190" i="3"/>
  <c r="A191" i="3"/>
  <c r="B191" i="3"/>
  <c r="H191" i="3"/>
  <c r="J191" i="3"/>
  <c r="A192" i="3"/>
  <c r="B192" i="3"/>
  <c r="H192" i="3"/>
  <c r="K192" i="3"/>
  <c r="A193" i="3"/>
  <c r="B193" i="3"/>
  <c r="H193" i="3"/>
  <c r="K193" i="3"/>
  <c r="A194" i="3"/>
  <c r="B194" i="3"/>
  <c r="H194" i="3"/>
  <c r="J194" i="3"/>
  <c r="A195" i="3"/>
  <c r="B195" i="3"/>
  <c r="H195" i="3"/>
  <c r="J195" i="3"/>
  <c r="A196" i="3"/>
  <c r="B196" i="3"/>
  <c r="H196" i="3"/>
  <c r="J196" i="3"/>
  <c r="A197" i="3"/>
  <c r="B197" i="3"/>
  <c r="H197" i="3"/>
  <c r="K197" i="3"/>
  <c r="L197" i="3"/>
  <c r="A198" i="3"/>
  <c r="B198" i="3"/>
  <c r="H198" i="3"/>
  <c r="K198" i="3"/>
  <c r="A199" i="3"/>
  <c r="B199" i="3"/>
  <c r="H199" i="3"/>
  <c r="J199" i="3"/>
  <c r="A200" i="3"/>
  <c r="B200" i="3"/>
  <c r="H200" i="3"/>
  <c r="J200" i="3"/>
  <c r="A201" i="3"/>
  <c r="B201" i="3"/>
  <c r="H201" i="3"/>
  <c r="J201" i="3"/>
  <c r="A202" i="3"/>
  <c r="B202" i="3"/>
  <c r="H202" i="3"/>
  <c r="K202" i="3"/>
  <c r="A203" i="3"/>
  <c r="B203" i="3"/>
  <c r="H203" i="3"/>
  <c r="K203" i="3"/>
  <c r="A204" i="3"/>
  <c r="B204" i="3"/>
  <c r="H204" i="3"/>
  <c r="J204" i="3"/>
  <c r="A205" i="3"/>
  <c r="B205" i="3"/>
  <c r="H205" i="3"/>
  <c r="J205" i="3"/>
  <c r="A206" i="3"/>
  <c r="B206" i="3"/>
  <c r="H206" i="3"/>
  <c r="J206" i="3"/>
  <c r="A207" i="3"/>
  <c r="B207" i="3"/>
  <c r="H207" i="3"/>
  <c r="K207" i="3"/>
  <c r="A208" i="3"/>
  <c r="B208" i="3"/>
  <c r="H208" i="3"/>
  <c r="K208" i="3"/>
  <c r="A209" i="3"/>
  <c r="B209" i="3"/>
  <c r="H209" i="3"/>
  <c r="J209" i="3"/>
  <c r="A210" i="3"/>
  <c r="B210" i="3"/>
  <c r="H210" i="3"/>
  <c r="J210" i="3"/>
  <c r="L210" i="3"/>
  <c r="A211" i="3"/>
  <c r="B211" i="3"/>
  <c r="H211" i="3"/>
  <c r="J211" i="3"/>
  <c r="A212" i="3"/>
  <c r="B212" i="3"/>
  <c r="H212" i="3"/>
  <c r="K212" i="3"/>
  <c r="A213" i="3"/>
  <c r="B213" i="3"/>
  <c r="H213" i="3"/>
  <c r="K213" i="3"/>
  <c r="A214" i="3"/>
  <c r="B214" i="3"/>
  <c r="H214" i="3"/>
  <c r="J214" i="3"/>
  <c r="A215" i="3"/>
  <c r="B215" i="3"/>
  <c r="H215" i="3"/>
  <c r="J215" i="3"/>
  <c r="A216" i="3"/>
  <c r="B216" i="3"/>
  <c r="H216" i="3"/>
  <c r="J216" i="3"/>
  <c r="A217" i="3"/>
  <c r="B217" i="3"/>
  <c r="H217" i="3"/>
  <c r="K217" i="3"/>
  <c r="A218" i="3"/>
  <c r="B218" i="3"/>
  <c r="H218" i="3"/>
  <c r="K218" i="3"/>
  <c r="A219" i="3"/>
  <c r="B219" i="3"/>
  <c r="H219" i="3"/>
  <c r="J219" i="3"/>
  <c r="A220" i="3"/>
  <c r="B220" i="3"/>
  <c r="H220" i="3"/>
  <c r="J220" i="3"/>
  <c r="A221" i="3"/>
  <c r="B221" i="3"/>
  <c r="H221" i="3"/>
  <c r="J221" i="3"/>
  <c r="A222" i="3"/>
  <c r="B222" i="3"/>
  <c r="H222" i="3"/>
  <c r="K222" i="3"/>
  <c r="A223" i="3"/>
  <c r="B223" i="3"/>
  <c r="H223" i="3"/>
  <c r="K223" i="3"/>
  <c r="A224" i="3"/>
  <c r="B224" i="3"/>
  <c r="H224" i="3"/>
  <c r="J224" i="3"/>
  <c r="A225" i="3"/>
  <c r="B225" i="3"/>
  <c r="H225" i="3"/>
  <c r="J225" i="3"/>
  <c r="A226" i="3"/>
  <c r="B226" i="3"/>
  <c r="H226" i="3"/>
  <c r="J226" i="3"/>
  <c r="A227" i="3"/>
  <c r="B227" i="3"/>
  <c r="H227" i="3"/>
  <c r="K227" i="3"/>
  <c r="A228" i="3"/>
  <c r="B228" i="3"/>
  <c r="H228" i="3"/>
  <c r="K228" i="3"/>
  <c r="A229" i="3"/>
  <c r="B229" i="3"/>
  <c r="H229" i="3"/>
  <c r="J229" i="3"/>
  <c r="A230" i="3"/>
  <c r="B230" i="3"/>
  <c r="H230" i="3"/>
  <c r="J230" i="3"/>
  <c r="A231" i="3"/>
  <c r="B231" i="3"/>
  <c r="H231" i="3"/>
  <c r="J231" i="3"/>
  <c r="A232" i="3"/>
  <c r="B232" i="3"/>
  <c r="H232" i="3"/>
  <c r="K232" i="3"/>
  <c r="A233" i="3"/>
  <c r="B233" i="3"/>
  <c r="H233" i="3"/>
  <c r="K233" i="3"/>
  <c r="A234" i="3"/>
  <c r="B234" i="3"/>
  <c r="H234" i="3"/>
  <c r="J234" i="3"/>
  <c r="A235" i="3"/>
  <c r="B235" i="3"/>
  <c r="H235" i="3"/>
  <c r="J235" i="3"/>
  <c r="A236" i="3"/>
  <c r="B236" i="3"/>
  <c r="H236" i="3"/>
  <c r="J236" i="3"/>
  <c r="A237" i="3"/>
  <c r="B237" i="3"/>
  <c r="H237" i="3"/>
  <c r="K237" i="3"/>
  <c r="A238" i="3"/>
  <c r="B238" i="3"/>
  <c r="H238" i="3"/>
  <c r="K238" i="3"/>
  <c r="L238" i="3"/>
  <c r="A239" i="3"/>
  <c r="B239" i="3"/>
  <c r="H239" i="3"/>
  <c r="J239" i="3"/>
  <c r="A240" i="3"/>
  <c r="B240" i="3"/>
  <c r="H240" i="3"/>
  <c r="J240" i="3"/>
  <c r="A241" i="3"/>
  <c r="B241" i="3"/>
  <c r="H241" i="3"/>
  <c r="J241" i="3"/>
  <c r="A242" i="3"/>
  <c r="B242" i="3"/>
  <c r="H242" i="3"/>
  <c r="K242" i="3"/>
  <c r="A243" i="3"/>
  <c r="B243" i="3"/>
  <c r="H243" i="3"/>
  <c r="K243" i="3"/>
  <c r="L243" i="3"/>
  <c r="A244" i="3"/>
  <c r="B244" i="3"/>
  <c r="H244" i="3"/>
  <c r="J244" i="3"/>
  <c r="A245" i="3"/>
  <c r="B245" i="3"/>
  <c r="H245" i="3"/>
  <c r="J245" i="3"/>
  <c r="A246" i="3"/>
  <c r="B246" i="3"/>
  <c r="H246" i="3"/>
  <c r="J246" i="3"/>
  <c r="A247" i="3"/>
  <c r="B247" i="3"/>
  <c r="H247" i="3"/>
  <c r="K247" i="3"/>
  <c r="A248" i="3"/>
  <c r="B248" i="3"/>
  <c r="H248" i="3"/>
  <c r="K248" i="3"/>
  <c r="A249" i="3"/>
  <c r="B249" i="3"/>
  <c r="H249" i="3"/>
  <c r="J249" i="3"/>
  <c r="A250" i="3"/>
  <c r="B250" i="3"/>
  <c r="H250" i="3"/>
  <c r="J250" i="3"/>
  <c r="L250" i="3"/>
  <c r="A251" i="3"/>
  <c r="B251" i="3"/>
  <c r="H251" i="3"/>
  <c r="J251" i="3"/>
  <c r="A2" i="3"/>
  <c r="B2" i="3"/>
  <c r="H2" i="3"/>
  <c r="K2" i="3"/>
  <c r="A3" i="3"/>
  <c r="B3" i="3"/>
  <c r="H3" i="3"/>
  <c r="K3" i="3"/>
  <c r="L3" i="3"/>
  <c r="A4" i="3"/>
  <c r="B4" i="3"/>
  <c r="H4" i="3"/>
  <c r="J4" i="3"/>
  <c r="A5" i="3"/>
  <c r="B5" i="3"/>
  <c r="H5" i="3"/>
  <c r="J5" i="3"/>
  <c r="A6" i="3"/>
  <c r="B6" i="3"/>
  <c r="H6" i="3"/>
  <c r="J6" i="3"/>
  <c r="A7" i="3"/>
  <c r="B7" i="3"/>
  <c r="H7" i="3"/>
  <c r="K7" i="3"/>
  <c r="A8" i="3"/>
  <c r="B8" i="3"/>
  <c r="H8" i="3"/>
  <c r="K8" i="3"/>
  <c r="A9" i="3"/>
  <c r="B9" i="3"/>
  <c r="H9" i="3"/>
  <c r="J9" i="3"/>
  <c r="A10" i="3"/>
  <c r="B10" i="3"/>
  <c r="H10" i="3"/>
  <c r="I10" i="3"/>
  <c r="J10" i="3"/>
  <c r="A11" i="3"/>
  <c r="B11" i="3"/>
  <c r="H11" i="3"/>
  <c r="J11" i="3"/>
  <c r="A12" i="3"/>
  <c r="B12" i="3"/>
  <c r="H12" i="3"/>
  <c r="K12" i="3"/>
  <c r="A13" i="3"/>
  <c r="B13" i="3"/>
  <c r="H13" i="3"/>
  <c r="K13" i="3"/>
  <c r="A14" i="3"/>
  <c r="B14" i="3"/>
  <c r="H14" i="3"/>
  <c r="J14" i="3"/>
  <c r="A15" i="3"/>
  <c r="B15" i="3"/>
  <c r="H15" i="3"/>
  <c r="J15" i="3"/>
  <c r="A16" i="3"/>
  <c r="B16" i="3"/>
  <c r="H16" i="3"/>
  <c r="J16" i="3"/>
  <c r="A17" i="3"/>
  <c r="B17" i="3"/>
  <c r="H17" i="3"/>
  <c r="K17" i="3"/>
  <c r="A18" i="3"/>
  <c r="B18" i="3"/>
  <c r="H18" i="3"/>
  <c r="K18" i="3"/>
  <c r="A19" i="3"/>
  <c r="B19" i="3"/>
  <c r="H19" i="3"/>
  <c r="J19" i="3"/>
  <c r="A20" i="3"/>
  <c r="B20" i="3"/>
  <c r="H20" i="3"/>
  <c r="J20" i="3"/>
  <c r="A21" i="3"/>
  <c r="B21" i="3"/>
  <c r="H21" i="3"/>
  <c r="J21" i="3"/>
  <c r="A22" i="3"/>
  <c r="B22" i="3"/>
  <c r="H22" i="3"/>
  <c r="K22" i="3"/>
  <c r="A23" i="3"/>
  <c r="B23" i="3"/>
  <c r="H23" i="3"/>
  <c r="K23" i="3"/>
  <c r="A24" i="3"/>
  <c r="B24" i="3"/>
  <c r="H24" i="3"/>
  <c r="J24" i="3"/>
  <c r="A25" i="3"/>
  <c r="B25" i="3"/>
  <c r="H25" i="3"/>
  <c r="J25" i="3"/>
  <c r="A26" i="3"/>
  <c r="B26" i="3"/>
  <c r="H26" i="3"/>
  <c r="J26" i="3"/>
  <c r="A27" i="3"/>
  <c r="B27" i="3"/>
  <c r="H27" i="3"/>
  <c r="K27" i="3"/>
  <c r="A28" i="3"/>
  <c r="B28" i="3"/>
  <c r="H28" i="3"/>
  <c r="K28" i="3"/>
  <c r="A29" i="3"/>
  <c r="B29" i="3"/>
  <c r="H29" i="3"/>
  <c r="J29" i="3"/>
  <c r="A30" i="3"/>
  <c r="B30" i="3"/>
  <c r="H30" i="3"/>
  <c r="J30" i="3"/>
  <c r="A31" i="3"/>
  <c r="B31" i="3"/>
  <c r="H31" i="3"/>
  <c r="J31" i="3"/>
  <c r="A32" i="3"/>
  <c r="B32" i="3"/>
  <c r="H32" i="3"/>
  <c r="K32" i="3"/>
  <c r="A33" i="3"/>
  <c r="B33" i="3"/>
  <c r="H33" i="3"/>
  <c r="K33" i="3"/>
  <c r="L33" i="3"/>
  <c r="A34" i="3"/>
  <c r="B34" i="3"/>
  <c r="H34" i="3"/>
  <c r="J34" i="3"/>
  <c r="A35" i="3"/>
  <c r="B35" i="3"/>
  <c r="H35" i="3"/>
  <c r="J35" i="3"/>
  <c r="A36" i="3"/>
  <c r="B36" i="3"/>
  <c r="H36" i="3"/>
  <c r="J36" i="3"/>
  <c r="A37" i="3"/>
  <c r="B37" i="3"/>
  <c r="H37" i="3"/>
  <c r="K37" i="3"/>
  <c r="A38" i="3"/>
  <c r="B38" i="3"/>
  <c r="H38" i="3"/>
  <c r="K38" i="3"/>
  <c r="A39" i="3"/>
  <c r="B39" i="3"/>
  <c r="H39" i="3"/>
  <c r="J39" i="3"/>
  <c r="A40" i="3"/>
  <c r="B40" i="3"/>
  <c r="H40" i="3"/>
  <c r="J40" i="3"/>
  <c r="A41" i="3"/>
  <c r="B41" i="3"/>
  <c r="H41" i="3"/>
  <c r="J41" i="3"/>
  <c r="A42" i="3"/>
  <c r="B42" i="3"/>
  <c r="H42" i="3"/>
  <c r="K42" i="3"/>
  <c r="A43" i="3"/>
  <c r="B43" i="3"/>
  <c r="H43" i="3"/>
  <c r="K43" i="3"/>
  <c r="A44" i="3"/>
  <c r="B44" i="3"/>
  <c r="H44" i="3"/>
  <c r="J44" i="3"/>
  <c r="A45" i="3"/>
  <c r="B45" i="3"/>
  <c r="H45" i="3"/>
  <c r="J45" i="3"/>
  <c r="L45" i="3"/>
  <c r="A46" i="3"/>
  <c r="B46" i="3"/>
  <c r="H46" i="3"/>
  <c r="J46" i="3"/>
  <c r="A47" i="3"/>
  <c r="B47" i="3"/>
  <c r="H47" i="3"/>
  <c r="K47" i="3"/>
  <c r="A48" i="3"/>
  <c r="B48" i="3"/>
  <c r="H48" i="3"/>
  <c r="K48" i="3"/>
  <c r="A49" i="3"/>
  <c r="B49" i="3"/>
  <c r="H49" i="3"/>
  <c r="J49" i="3"/>
  <c r="A50" i="3"/>
  <c r="B50" i="3"/>
  <c r="H50" i="3"/>
  <c r="I50" i="3"/>
  <c r="J50" i="3"/>
  <c r="A51" i="3"/>
  <c r="B51" i="3"/>
  <c r="H51" i="3"/>
  <c r="J51" i="3"/>
  <c r="A52" i="3"/>
  <c r="B52" i="3"/>
  <c r="H52" i="3"/>
  <c r="K52" i="3"/>
  <c r="A53" i="3"/>
  <c r="B53" i="3"/>
  <c r="H53" i="3"/>
  <c r="K53" i="3"/>
  <c r="A54" i="3"/>
  <c r="B54" i="3"/>
  <c r="H54" i="3"/>
  <c r="J54" i="3"/>
  <c r="L54" i="3"/>
  <c r="A55" i="3"/>
  <c r="B55" i="3"/>
  <c r="H55" i="3"/>
  <c r="J55" i="3"/>
  <c r="A56" i="3"/>
  <c r="B56" i="3"/>
  <c r="H56" i="3"/>
  <c r="J56" i="3"/>
  <c r="A57" i="3"/>
  <c r="B57" i="3"/>
  <c r="H57" i="3"/>
  <c r="K57" i="3"/>
  <c r="A58" i="3"/>
  <c r="B58" i="3"/>
  <c r="H58" i="3"/>
  <c r="K58" i="3"/>
  <c r="A59" i="3"/>
  <c r="B59" i="3"/>
  <c r="H59" i="3"/>
  <c r="J59" i="3"/>
  <c r="A60" i="3"/>
  <c r="B60" i="3"/>
  <c r="H60" i="3"/>
  <c r="J60" i="3"/>
  <c r="L60" i="3"/>
  <c r="A61" i="3"/>
  <c r="B61" i="3"/>
  <c r="H61" i="3"/>
  <c r="J61" i="3"/>
  <c r="A62" i="3"/>
  <c r="B62" i="3"/>
  <c r="H62" i="3"/>
  <c r="K62" i="3"/>
  <c r="A63" i="3"/>
  <c r="B63" i="3"/>
  <c r="H63" i="3"/>
  <c r="K63" i="3"/>
  <c r="L63" i="3"/>
  <c r="A64" i="3"/>
  <c r="B64" i="3"/>
  <c r="H64" i="3"/>
  <c r="J64" i="3"/>
  <c r="A65" i="3"/>
  <c r="B65" i="3"/>
  <c r="H65" i="3"/>
  <c r="J65" i="3"/>
  <c r="L65" i="3"/>
  <c r="A66" i="3"/>
  <c r="B66" i="3"/>
  <c r="H66" i="3"/>
  <c r="I66" i="3"/>
  <c r="J66" i="3"/>
  <c r="A67" i="3"/>
  <c r="B67" i="3"/>
  <c r="H67" i="3"/>
  <c r="K67" i="3"/>
  <c r="L67" i="3"/>
  <c r="A68" i="3"/>
  <c r="B68" i="3"/>
  <c r="H68" i="3"/>
  <c r="K68" i="3"/>
  <c r="A69" i="3"/>
  <c r="B69" i="3"/>
  <c r="H69" i="3"/>
  <c r="J69" i="3"/>
  <c r="A70" i="3"/>
  <c r="B70" i="3"/>
  <c r="H70" i="3"/>
  <c r="J70" i="3"/>
  <c r="A71" i="3"/>
  <c r="B71" i="3"/>
  <c r="H71" i="3"/>
  <c r="J71" i="3"/>
  <c r="A72" i="3"/>
  <c r="B72" i="3"/>
  <c r="H72" i="3"/>
  <c r="K72" i="3"/>
  <c r="A73" i="3"/>
  <c r="B73" i="3"/>
  <c r="H73" i="3"/>
  <c r="I73" i="3"/>
  <c r="K73" i="3"/>
  <c r="A74" i="3"/>
  <c r="B74" i="3"/>
  <c r="H74" i="3"/>
  <c r="J74" i="3"/>
  <c r="L74" i="3"/>
  <c r="A75" i="3"/>
  <c r="B75" i="3"/>
  <c r="H75" i="3"/>
  <c r="J75" i="3"/>
  <c r="A76" i="3"/>
  <c r="B76" i="3"/>
  <c r="H76" i="3"/>
  <c r="I76" i="3"/>
  <c r="J76" i="3"/>
  <c r="A77" i="3"/>
  <c r="B77" i="3"/>
  <c r="H77" i="3"/>
  <c r="K77" i="3"/>
  <c r="A78" i="3"/>
  <c r="B78" i="3"/>
  <c r="H78" i="3"/>
  <c r="K78" i="3"/>
  <c r="A79" i="3"/>
  <c r="B79" i="3"/>
  <c r="H79" i="3"/>
  <c r="J79" i="3"/>
  <c r="A80" i="3"/>
  <c r="B80" i="3"/>
  <c r="H80" i="3"/>
  <c r="J80" i="3"/>
  <c r="A81" i="3"/>
  <c r="B81" i="3"/>
  <c r="H81" i="3"/>
  <c r="J81" i="3"/>
  <c r="A82" i="3"/>
  <c r="B82" i="3"/>
  <c r="H82" i="3"/>
  <c r="K82" i="3"/>
  <c r="A83" i="3"/>
  <c r="B83" i="3"/>
  <c r="H83" i="3"/>
  <c r="I83" i="3"/>
  <c r="K83" i="3"/>
  <c r="A84" i="3"/>
  <c r="B84" i="3"/>
  <c r="H84" i="3"/>
  <c r="J84" i="3"/>
  <c r="L84" i="3"/>
  <c r="A85" i="3"/>
  <c r="B85" i="3"/>
  <c r="H85" i="3"/>
  <c r="J85" i="3"/>
  <c r="A86" i="3"/>
  <c r="B86" i="3"/>
  <c r="H86" i="3"/>
  <c r="J86" i="3"/>
  <c r="A87" i="3"/>
  <c r="B87" i="3"/>
  <c r="H87" i="3"/>
  <c r="K87" i="3"/>
  <c r="A88" i="3"/>
  <c r="B88" i="3"/>
  <c r="H88" i="3"/>
  <c r="K88" i="3"/>
  <c r="A89" i="3"/>
  <c r="B89" i="3"/>
  <c r="H89" i="3"/>
  <c r="J89" i="3"/>
  <c r="A90" i="3"/>
  <c r="B90" i="3"/>
  <c r="H90" i="3"/>
  <c r="I90" i="3"/>
  <c r="J90" i="3"/>
  <c r="A91" i="3"/>
  <c r="B91" i="3"/>
  <c r="H91" i="3"/>
  <c r="J91" i="3"/>
  <c r="A92" i="3"/>
  <c r="B92" i="3"/>
  <c r="H92" i="3"/>
  <c r="K92" i="3"/>
  <c r="A93" i="3"/>
  <c r="B93" i="3"/>
  <c r="H93" i="3"/>
  <c r="K93" i="3"/>
  <c r="A94" i="3"/>
  <c r="B94" i="3"/>
  <c r="H94" i="3"/>
  <c r="J94" i="3"/>
  <c r="L94" i="3"/>
  <c r="A95" i="3"/>
  <c r="B95" i="3"/>
  <c r="H95" i="3"/>
  <c r="J95" i="3"/>
  <c r="A96" i="3"/>
  <c r="B96" i="3"/>
  <c r="H96" i="3"/>
  <c r="J96" i="3"/>
  <c r="A97" i="3"/>
  <c r="B97" i="3"/>
  <c r="H97" i="3"/>
  <c r="K97" i="3"/>
  <c r="A98" i="3"/>
  <c r="B98" i="3"/>
  <c r="H98" i="3"/>
  <c r="K98" i="3"/>
  <c r="A99" i="3"/>
  <c r="B99" i="3"/>
  <c r="H99" i="3"/>
  <c r="J99" i="3"/>
  <c r="A100" i="3"/>
  <c r="B100" i="3"/>
  <c r="H100" i="3"/>
  <c r="J100" i="3"/>
  <c r="L100" i="3"/>
  <c r="A101" i="3"/>
  <c r="B101" i="3"/>
  <c r="H101" i="3"/>
  <c r="J101" i="3"/>
  <c r="A102" i="3"/>
  <c r="B102" i="3"/>
  <c r="H102" i="3"/>
  <c r="K102" i="3"/>
  <c r="A103" i="3"/>
  <c r="B103" i="3"/>
  <c r="H103" i="3"/>
  <c r="K103" i="3"/>
  <c r="L103" i="3"/>
  <c r="A104" i="3"/>
  <c r="B104" i="3"/>
  <c r="H104" i="3"/>
  <c r="J104" i="3"/>
  <c r="A105" i="3"/>
  <c r="B105" i="3"/>
  <c r="H105" i="3"/>
  <c r="J105" i="3"/>
  <c r="L105" i="3"/>
  <c r="A106" i="3"/>
  <c r="B106" i="3"/>
  <c r="H106" i="3"/>
  <c r="I106" i="3"/>
  <c r="J106" i="3"/>
  <c r="A107" i="3"/>
  <c r="B107" i="3"/>
  <c r="H107" i="3"/>
  <c r="K107" i="3"/>
  <c r="L107" i="3"/>
  <c r="A108" i="3"/>
  <c r="B108" i="3"/>
  <c r="H108" i="3"/>
  <c r="K108" i="3"/>
  <c r="A109" i="3"/>
  <c r="B109" i="3"/>
  <c r="H109" i="3"/>
  <c r="J109" i="3"/>
  <c r="A110" i="3"/>
  <c r="B110" i="3"/>
  <c r="H110" i="3"/>
  <c r="J110" i="3"/>
  <c r="A111" i="3"/>
  <c r="B111" i="3"/>
  <c r="H111" i="3"/>
  <c r="J111" i="3"/>
  <c r="A112" i="3"/>
  <c r="B112" i="3"/>
  <c r="H112" i="3"/>
  <c r="K112" i="3"/>
  <c r="A113" i="3"/>
  <c r="B113" i="3"/>
  <c r="H113" i="3"/>
  <c r="I113" i="3"/>
  <c r="K113" i="3"/>
  <c r="A114" i="3"/>
  <c r="B114" i="3"/>
  <c r="H114" i="3"/>
  <c r="J114" i="3"/>
  <c r="L114" i="3"/>
  <c r="A115" i="3"/>
  <c r="B115" i="3"/>
  <c r="H115" i="3"/>
  <c r="J115" i="3"/>
  <c r="A116" i="3"/>
  <c r="B116" i="3"/>
  <c r="H116" i="3"/>
  <c r="I116" i="3"/>
  <c r="J116" i="3"/>
  <c r="A117" i="3"/>
  <c r="B117" i="3"/>
  <c r="H117" i="3"/>
  <c r="K117" i="3"/>
  <c r="A118" i="3"/>
  <c r="B118" i="3"/>
  <c r="H118" i="3"/>
  <c r="K118" i="3"/>
  <c r="A119" i="3"/>
  <c r="B119" i="3"/>
  <c r="H119" i="3"/>
  <c r="J119" i="3"/>
  <c r="A120" i="3"/>
  <c r="B120" i="3"/>
  <c r="H120" i="3"/>
  <c r="J120" i="3"/>
  <c r="A121" i="3"/>
  <c r="B121" i="3"/>
  <c r="H121" i="3"/>
  <c r="J121" i="3"/>
  <c r="A122" i="3"/>
  <c r="B122" i="3"/>
  <c r="H122" i="3"/>
  <c r="K122" i="3"/>
  <c r="A123" i="3"/>
  <c r="B123" i="3"/>
  <c r="H123" i="3"/>
  <c r="I123" i="3"/>
  <c r="K123" i="3"/>
  <c r="A124" i="3"/>
  <c r="B124" i="3"/>
  <c r="H124" i="3"/>
  <c r="J124" i="3"/>
  <c r="L124" i="3"/>
  <c r="A125" i="3"/>
  <c r="B125" i="3"/>
  <c r="H125" i="3"/>
  <c r="J125" i="3"/>
  <c r="A126" i="3"/>
  <c r="B126" i="3"/>
  <c r="H126" i="3"/>
  <c r="J126" i="3"/>
  <c r="A2" i="2"/>
  <c r="B2" i="2"/>
  <c r="C2" i="2" a="1"/>
  <c r="C2" i="2" s="1"/>
  <c r="I504" i="3" s="1"/>
  <c r="D2" i="2" a="1"/>
  <c r="D2" i="2" s="1"/>
  <c r="G2" i="2" a="1"/>
  <c r="G2" i="2" s="1"/>
  <c r="H2" i="2"/>
  <c r="J502" i="3" s="1"/>
  <c r="P2" i="2"/>
  <c r="S2" i="2"/>
  <c r="T2" i="2"/>
  <c r="A3" i="2"/>
  <c r="B3" i="2"/>
  <c r="C3" i="2" a="1"/>
  <c r="C3" i="2" s="1"/>
  <c r="I508" i="3" s="1"/>
  <c r="D3" i="2" a="1"/>
  <c r="D3" i="2" s="1"/>
  <c r="F511" i="3" s="1"/>
  <c r="G3" i="2" a="1"/>
  <c r="G3" i="2" s="1"/>
  <c r="H3" i="2"/>
  <c r="J508" i="3" s="1"/>
  <c r="P3" i="2"/>
  <c r="S3" i="2"/>
  <c r="T3" i="2"/>
  <c r="A4" i="2"/>
  <c r="B4" i="2"/>
  <c r="C4" i="2" a="1"/>
  <c r="C4" i="2" s="1"/>
  <c r="D4" i="2" a="1"/>
  <c r="D4" i="2" s="1"/>
  <c r="G4" i="2" a="1"/>
  <c r="G4" i="2" s="1"/>
  <c r="H4" i="2"/>
  <c r="P4" i="2"/>
  <c r="S4" i="2"/>
  <c r="T4" i="2"/>
  <c r="A5" i="2"/>
  <c r="B5" i="2"/>
  <c r="C5" i="2" a="1"/>
  <c r="C5" i="2" s="1"/>
  <c r="D5" i="2" a="1"/>
  <c r="D5" i="2" s="1"/>
  <c r="G5" i="2" a="1"/>
  <c r="G5" i="2" s="1"/>
  <c r="H5" i="2"/>
  <c r="J520" i="3" s="1"/>
  <c r="P5" i="2"/>
  <c r="S5" i="2"/>
  <c r="T5" i="2"/>
  <c r="A6" i="2"/>
  <c r="B6" i="2"/>
  <c r="C6" i="2" a="1"/>
  <c r="C6" i="2" s="1"/>
  <c r="I528" i="3" s="1"/>
  <c r="D6" i="2" a="1"/>
  <c r="D6" i="2" s="1"/>
  <c r="G6" i="2" a="1"/>
  <c r="G6" i="2" s="1"/>
  <c r="H529" i="3" s="1"/>
  <c r="H6" i="2"/>
  <c r="J526" i="3" s="1"/>
  <c r="P6" i="2"/>
  <c r="S6" i="2"/>
  <c r="T6" i="2"/>
  <c r="A7" i="2"/>
  <c r="B7" i="2"/>
  <c r="C7" i="2" a="1"/>
  <c r="C7" i="2" s="1"/>
  <c r="I532" i="3" s="1"/>
  <c r="D7" i="2" a="1"/>
  <c r="D7" i="2" s="1"/>
  <c r="F535" i="3" s="1"/>
  <c r="G7" i="2" a="1"/>
  <c r="G7" i="2" s="1"/>
  <c r="H537" i="3" s="1"/>
  <c r="H7" i="2"/>
  <c r="J532" i="3" s="1"/>
  <c r="P7" i="2"/>
  <c r="S7" i="2"/>
  <c r="T7" i="2"/>
  <c r="A8" i="2"/>
  <c r="B8" i="2"/>
  <c r="C8" i="2" a="1"/>
  <c r="C8" i="2" s="1"/>
  <c r="D8" i="2" a="1"/>
  <c r="D8" i="2" s="1"/>
  <c r="F543" i="3" s="1"/>
  <c r="G8" i="2" a="1"/>
  <c r="G8" i="2" s="1"/>
  <c r="H8" i="2"/>
  <c r="J538" i="3" s="1"/>
  <c r="P8" i="2"/>
  <c r="S8" i="2"/>
  <c r="T8" i="2"/>
  <c r="A9" i="2"/>
  <c r="B9" i="2"/>
  <c r="C548" i="3" s="1"/>
  <c r="C9" i="2" a="1"/>
  <c r="C9" i="2" s="1"/>
  <c r="D9" i="2" a="1"/>
  <c r="D9" i="2" s="1"/>
  <c r="F544" i="3" s="1"/>
  <c r="G9" i="2" a="1"/>
  <c r="G9" i="2" s="1"/>
  <c r="H545" i="3" s="1"/>
  <c r="H9" i="2"/>
  <c r="J544" i="3" s="1"/>
  <c r="P9" i="2"/>
  <c r="S9" i="2"/>
  <c r="T9" i="2"/>
  <c r="A10" i="2"/>
  <c r="B10" i="2"/>
  <c r="C550" i="3" s="1"/>
  <c r="C10" i="2" a="1"/>
  <c r="C10" i="2" s="1"/>
  <c r="I552" i="3" s="1"/>
  <c r="D10" i="2" a="1"/>
  <c r="D10" i="2" s="1"/>
  <c r="F552" i="3" s="1"/>
  <c r="G10" i="2" a="1"/>
  <c r="G10" i="2" s="1"/>
  <c r="H553" i="3" s="1"/>
  <c r="H10" i="2"/>
  <c r="J550" i="3" s="1"/>
  <c r="P10" i="2"/>
  <c r="S10" i="2"/>
  <c r="T10" i="2"/>
  <c r="A11" i="2"/>
  <c r="B11" i="2"/>
  <c r="C11" i="2" a="1"/>
  <c r="C11" i="2" s="1"/>
  <c r="I556" i="3" s="1"/>
  <c r="D11" i="2" a="1"/>
  <c r="D11" i="2" s="1"/>
  <c r="G11" i="2" a="1"/>
  <c r="G11" i="2" s="1"/>
  <c r="H11" i="2"/>
  <c r="J556" i="3" s="1"/>
  <c r="P11" i="2"/>
  <c r="S11" i="2"/>
  <c r="T11" i="2"/>
  <c r="A12" i="2"/>
  <c r="B12" i="2"/>
  <c r="C564" i="3" s="1"/>
  <c r="C12" i="2" a="1"/>
  <c r="C12" i="2" s="1"/>
  <c r="I562" i="3" s="1"/>
  <c r="D12" i="2" a="1"/>
  <c r="D12" i="2" s="1"/>
  <c r="F565" i="3" s="1"/>
  <c r="G12" i="2" a="1"/>
  <c r="G12" i="2" s="1"/>
  <c r="H12" i="2"/>
  <c r="J562" i="3" s="1"/>
  <c r="P12" i="2"/>
  <c r="S12" i="2"/>
  <c r="T12" i="2"/>
  <c r="A13" i="2"/>
  <c r="B13" i="2"/>
  <c r="C13" i="2" a="1"/>
  <c r="C13" i="2" s="1"/>
  <c r="I568" i="3" s="1"/>
  <c r="D13" i="2" a="1"/>
  <c r="D13" i="2" s="1"/>
  <c r="G13" i="2" a="1"/>
  <c r="G13" i="2" s="1"/>
  <c r="H13" i="2"/>
  <c r="J568" i="3" s="1"/>
  <c r="P13" i="2"/>
  <c r="S13" i="2"/>
  <c r="T13" i="2"/>
  <c r="A14" i="2"/>
  <c r="B14" i="2"/>
  <c r="C577" i="3" s="1"/>
  <c r="C14" i="2" a="1"/>
  <c r="C14" i="2" s="1"/>
  <c r="I576" i="3" s="1"/>
  <c r="D14" i="2" a="1"/>
  <c r="D14" i="2" s="1"/>
  <c r="G14" i="2" a="1"/>
  <c r="G14" i="2" s="1"/>
  <c r="H576" i="3" s="1"/>
  <c r="H14" i="2"/>
  <c r="J574" i="3" s="1"/>
  <c r="P14" i="2"/>
  <c r="S14" i="2"/>
  <c r="T14" i="2"/>
  <c r="A15" i="2"/>
  <c r="B15" i="2"/>
  <c r="C15" i="2" a="1"/>
  <c r="C15" i="2" s="1"/>
  <c r="I582" i="3" s="1"/>
  <c r="D15" i="2" a="1"/>
  <c r="D15" i="2" s="1"/>
  <c r="F583" i="3" s="1"/>
  <c r="G15" i="2" a="1"/>
  <c r="G15" i="2" s="1"/>
  <c r="H580" i="3" s="1"/>
  <c r="H15" i="2"/>
  <c r="Q15" i="2" s="1"/>
  <c r="K584" i="3" s="1"/>
  <c r="P15" i="2"/>
  <c r="S15" i="2"/>
  <c r="T15" i="2"/>
  <c r="A16" i="2"/>
  <c r="B16" i="2"/>
  <c r="C591" i="3" s="1"/>
  <c r="C16" i="2" a="1"/>
  <c r="C16" i="2" s="1"/>
  <c r="I586" i="3" s="1"/>
  <c r="D16" i="2" a="1"/>
  <c r="D16" i="2" s="1"/>
  <c r="F586" i="3" s="1"/>
  <c r="G16" i="2" a="1"/>
  <c r="G16" i="2" s="1"/>
  <c r="H589" i="3" s="1"/>
  <c r="H16" i="2"/>
  <c r="J586" i="3" s="1"/>
  <c r="P16" i="2"/>
  <c r="S16" i="2"/>
  <c r="T16" i="2"/>
  <c r="A17" i="2"/>
  <c r="B17" i="2"/>
  <c r="C592" i="3" s="1"/>
  <c r="C17" i="2" a="1"/>
  <c r="C17" i="2" s="1"/>
  <c r="I592" i="3" s="1"/>
  <c r="D17" i="2" a="1"/>
  <c r="D17" i="2" s="1"/>
  <c r="I597" i="3" s="1"/>
  <c r="G17" i="2" a="1"/>
  <c r="G17" i="2" s="1"/>
  <c r="H594" i="3" s="1"/>
  <c r="H17" i="2"/>
  <c r="J592" i="3" s="1"/>
  <c r="P17" i="2"/>
  <c r="S17" i="2"/>
  <c r="T17" i="2"/>
  <c r="A18" i="2"/>
  <c r="B18" i="2"/>
  <c r="C601" i="3" s="1"/>
  <c r="C18" i="2" a="1"/>
  <c r="C18" i="2" s="1"/>
  <c r="I600" i="3" s="1"/>
  <c r="D18" i="2" a="1"/>
  <c r="D18" i="2" s="1"/>
  <c r="F600" i="3" s="1"/>
  <c r="G18" i="2" a="1"/>
  <c r="G18" i="2" s="1"/>
  <c r="H603" i="3" s="1"/>
  <c r="H18" i="2"/>
  <c r="J598" i="3" s="1"/>
  <c r="P18" i="2"/>
  <c r="S18" i="2"/>
  <c r="T18" i="2"/>
  <c r="A19" i="2"/>
  <c r="B19" i="2"/>
  <c r="C608" i="3" s="1"/>
  <c r="C19" i="2" a="1"/>
  <c r="C19" i="2" s="1"/>
  <c r="I604" i="3" s="1"/>
  <c r="D19" i="2" a="1"/>
  <c r="D19" i="2" s="1"/>
  <c r="F608" i="3" s="1"/>
  <c r="G19" i="2" a="1"/>
  <c r="G19" i="2" s="1"/>
  <c r="H604" i="3" s="1"/>
  <c r="H19" i="2"/>
  <c r="J604" i="3" s="1"/>
  <c r="P19" i="2"/>
  <c r="S19" i="2"/>
  <c r="T19" i="2"/>
  <c r="A20" i="2"/>
  <c r="B20" i="2"/>
  <c r="C614" i="3" s="1"/>
  <c r="C20" i="2" a="1"/>
  <c r="C20" i="2" s="1"/>
  <c r="I610" i="3" s="1"/>
  <c r="D20" i="2" a="1"/>
  <c r="D20" i="2" s="1"/>
  <c r="I615" i="3" s="1"/>
  <c r="G20" i="2" a="1"/>
  <c r="G20" i="2" s="1"/>
  <c r="H610" i="3" s="1"/>
  <c r="H20" i="2"/>
  <c r="J610" i="3" s="1"/>
  <c r="P20" i="2"/>
  <c r="S20" i="2"/>
  <c r="T20" i="2"/>
  <c r="A21" i="2"/>
  <c r="B21" i="2"/>
  <c r="C617" i="3" s="1"/>
  <c r="C21" i="2" a="1"/>
  <c r="C21" i="2" s="1"/>
  <c r="I618" i="3" s="1"/>
  <c r="D21" i="2" a="1"/>
  <c r="D21" i="2" s="1"/>
  <c r="F616" i="3" s="1"/>
  <c r="G21" i="2" a="1"/>
  <c r="G21" i="2" s="1"/>
  <c r="H618" i="3" s="1"/>
  <c r="H21" i="2"/>
  <c r="J616" i="3" s="1"/>
  <c r="P21" i="2"/>
  <c r="S21" i="2"/>
  <c r="T21" i="2"/>
  <c r="A22" i="2"/>
  <c r="B22" i="2"/>
  <c r="C22" i="2" a="1"/>
  <c r="C22" i="2" s="1"/>
  <c r="I624" i="3" s="1"/>
  <c r="D22" i="2" a="1"/>
  <c r="D22" i="2" s="1"/>
  <c r="G22" i="2" a="1"/>
  <c r="G22" i="2" s="1"/>
  <c r="H22" i="2"/>
  <c r="J622" i="3" s="1"/>
  <c r="P22" i="2"/>
  <c r="S22" i="2"/>
  <c r="T22" i="2"/>
  <c r="A23" i="2"/>
  <c r="B23" i="2"/>
  <c r="C23" i="2" a="1"/>
  <c r="C23" i="2" s="1"/>
  <c r="D23" i="2" a="1"/>
  <c r="D23" i="2" s="1"/>
  <c r="G23" i="2" a="1"/>
  <c r="G23" i="2" s="1"/>
  <c r="H23" i="2"/>
  <c r="J628" i="3" s="1"/>
  <c r="P23" i="2"/>
  <c r="S23" i="2"/>
  <c r="T23" i="2"/>
  <c r="A24" i="2"/>
  <c r="B24" i="2"/>
  <c r="C24" i="2" a="1"/>
  <c r="C24" i="2" s="1"/>
  <c r="I636" i="3" s="1"/>
  <c r="D24" i="2" a="1"/>
  <c r="D24" i="2" s="1"/>
  <c r="I639" i="3" s="1"/>
  <c r="G24" i="2" a="1"/>
  <c r="G24" i="2" s="1"/>
  <c r="H637" i="3" s="1"/>
  <c r="H24" i="2"/>
  <c r="J634" i="3" s="1"/>
  <c r="P24" i="2"/>
  <c r="S24" i="2"/>
  <c r="T24" i="2"/>
  <c r="A25" i="2"/>
  <c r="B25" i="2"/>
  <c r="C25" i="2" a="1"/>
  <c r="C25" i="2" s="1"/>
  <c r="I640" i="3" s="1"/>
  <c r="D25" i="2" a="1"/>
  <c r="D25" i="2" s="1"/>
  <c r="F643" i="3" s="1"/>
  <c r="G25" i="2" a="1"/>
  <c r="G25" i="2" s="1"/>
  <c r="H642" i="3" s="1"/>
  <c r="H25" i="2"/>
  <c r="J640" i="3" s="1"/>
  <c r="P25" i="2"/>
  <c r="S25" i="2"/>
  <c r="T25" i="2"/>
  <c r="A26" i="2"/>
  <c r="B26" i="2"/>
  <c r="C649" i="3" s="1"/>
  <c r="C26" i="2" a="1"/>
  <c r="C26" i="2" s="1"/>
  <c r="D26" i="2" a="1"/>
  <c r="D26" i="2" s="1"/>
  <c r="F648" i="3" s="1"/>
  <c r="G26" i="2" a="1"/>
  <c r="G26" i="2" s="1"/>
  <c r="H26" i="2"/>
  <c r="J646" i="3" s="1"/>
  <c r="P26" i="2"/>
  <c r="S26" i="2"/>
  <c r="T26" i="2"/>
  <c r="A27" i="2"/>
  <c r="B27" i="2"/>
  <c r="C654" i="3" s="1"/>
  <c r="C27" i="2" a="1"/>
  <c r="C27" i="2" s="1"/>
  <c r="D27" i="2" a="1"/>
  <c r="D27" i="2" s="1"/>
  <c r="G27" i="2" a="1"/>
  <c r="G27" i="2" s="1"/>
  <c r="H653" i="3" s="1"/>
  <c r="H27" i="2"/>
  <c r="J652" i="3" s="1"/>
  <c r="P27" i="2"/>
  <c r="S27" i="2"/>
  <c r="T27" i="2"/>
  <c r="A28" i="2"/>
  <c r="B28" i="2"/>
  <c r="C28" i="2" a="1"/>
  <c r="C28" i="2" s="1"/>
  <c r="I660" i="3" s="1"/>
  <c r="D28" i="2" a="1"/>
  <c r="D28" i="2" s="1"/>
  <c r="F659" i="3" s="1"/>
  <c r="G28" i="2" a="1"/>
  <c r="G28" i="2" s="1"/>
  <c r="H658" i="3" s="1"/>
  <c r="H28" i="2"/>
  <c r="J658" i="3" s="1"/>
  <c r="P28" i="2"/>
  <c r="S28" i="2"/>
  <c r="T28" i="2"/>
  <c r="A29" i="2"/>
  <c r="B29" i="2"/>
  <c r="C665" i="3" s="1"/>
  <c r="C29" i="2" a="1"/>
  <c r="C29" i="2" s="1"/>
  <c r="I664" i="3" s="1"/>
  <c r="D29" i="2" a="1"/>
  <c r="D29" i="2" s="1"/>
  <c r="F664" i="3" s="1"/>
  <c r="G29" i="2" a="1"/>
  <c r="G29" i="2" s="1"/>
  <c r="H29" i="2"/>
  <c r="J664" i="3" s="1"/>
  <c r="P29" i="2"/>
  <c r="S29" i="2"/>
  <c r="T29" i="2"/>
  <c r="A30" i="2"/>
  <c r="B30" i="2"/>
  <c r="C670" i="3" s="1"/>
  <c r="C30" i="2" a="1"/>
  <c r="C30" i="2" s="1"/>
  <c r="D30" i="2" a="1"/>
  <c r="D30" i="2" s="1"/>
  <c r="G30" i="2" a="1"/>
  <c r="G30" i="2" s="1"/>
  <c r="H30" i="2"/>
  <c r="J670" i="3" s="1"/>
  <c r="P30" i="2"/>
  <c r="S30" i="2"/>
  <c r="T30" i="2"/>
  <c r="A31" i="2"/>
  <c r="B31" i="2"/>
  <c r="C31" i="2" a="1"/>
  <c r="C31" i="2" s="1"/>
  <c r="D31" i="2" a="1"/>
  <c r="D31" i="2" s="1"/>
  <c r="G31" i="2" a="1"/>
  <c r="G31" i="2" s="1"/>
  <c r="H677" i="3" s="1"/>
  <c r="H31" i="2"/>
  <c r="J676" i="3" s="1"/>
  <c r="P31" i="2"/>
  <c r="S31" i="2"/>
  <c r="T31" i="2"/>
  <c r="A32" i="2"/>
  <c r="B32" i="2"/>
  <c r="C32" i="2" a="1"/>
  <c r="C32" i="2" s="1"/>
  <c r="I684" i="3" s="1"/>
  <c r="D32" i="2" a="1"/>
  <c r="D32" i="2" s="1"/>
  <c r="F682" i="3" s="1"/>
  <c r="G32" i="2" a="1"/>
  <c r="G32" i="2" s="1"/>
  <c r="H682" i="3" s="1"/>
  <c r="H32" i="2"/>
  <c r="J682" i="3" s="1"/>
  <c r="P32" i="2"/>
  <c r="S32" i="2"/>
  <c r="T32" i="2"/>
  <c r="A33" i="2"/>
  <c r="B33" i="2"/>
  <c r="C33" i="2" a="1"/>
  <c r="C33" i="2" s="1"/>
  <c r="I688" i="3" s="1"/>
  <c r="D33" i="2" a="1"/>
  <c r="D33" i="2" s="1"/>
  <c r="F688" i="3" s="1"/>
  <c r="G33" i="2" a="1"/>
  <c r="G33" i="2" s="1"/>
  <c r="H690" i="3" s="1"/>
  <c r="H33" i="2"/>
  <c r="J688" i="3" s="1"/>
  <c r="P33" i="2"/>
  <c r="S33" i="2"/>
  <c r="T33" i="2"/>
  <c r="A34" i="2"/>
  <c r="B34" i="2"/>
  <c r="C698" i="3" s="1"/>
  <c r="C34" i="2" a="1"/>
  <c r="C34" i="2" s="1"/>
  <c r="I694" i="3" s="1"/>
  <c r="D34" i="2" a="1"/>
  <c r="D34" i="2" s="1"/>
  <c r="F697" i="3" s="1"/>
  <c r="G34" i="2" a="1"/>
  <c r="G34" i="2" s="1"/>
  <c r="H696" i="3" s="1"/>
  <c r="H34" i="2"/>
  <c r="Q34" i="2" s="1"/>
  <c r="K698" i="3" s="1"/>
  <c r="P34" i="2"/>
  <c r="S34" i="2"/>
  <c r="T34" i="2"/>
  <c r="A35" i="2"/>
  <c r="B35" i="2"/>
  <c r="C701" i="3" s="1"/>
  <c r="C35" i="2" a="1"/>
  <c r="C35" i="2" s="1"/>
  <c r="I702" i="3" s="1"/>
  <c r="D35" i="2" a="1"/>
  <c r="D35" i="2" s="1"/>
  <c r="F702" i="3" s="1"/>
  <c r="G35" i="2" a="1"/>
  <c r="G35" i="2" s="1"/>
  <c r="H703" i="3" s="1"/>
  <c r="H35" i="2"/>
  <c r="J700" i="3" s="1"/>
  <c r="P35" i="2"/>
  <c r="S35" i="2"/>
  <c r="T35" i="2"/>
  <c r="A36" i="2"/>
  <c r="B36" i="2"/>
  <c r="C708" i="3" s="1"/>
  <c r="C36" i="2" a="1"/>
  <c r="C36" i="2" s="1"/>
  <c r="I706" i="3" s="1"/>
  <c r="D36" i="2" a="1"/>
  <c r="D36" i="2" s="1"/>
  <c r="F709" i="3" s="1"/>
  <c r="G36" i="2" a="1"/>
  <c r="G36" i="2" s="1"/>
  <c r="H710" i="3" s="1"/>
  <c r="H36" i="2"/>
  <c r="J706" i="3" s="1"/>
  <c r="P36" i="2"/>
  <c r="S36" i="2"/>
  <c r="T36" i="2"/>
  <c r="A37" i="2"/>
  <c r="B37" i="2"/>
  <c r="C715" i="3" s="1"/>
  <c r="C37" i="2" a="1"/>
  <c r="C37" i="2" s="1"/>
  <c r="I712" i="3" s="1"/>
  <c r="D37" i="2" a="1"/>
  <c r="D37" i="2" s="1"/>
  <c r="F716" i="3" s="1"/>
  <c r="G37" i="2" a="1"/>
  <c r="G37" i="2" s="1"/>
  <c r="H713" i="3" s="1"/>
  <c r="H37" i="2"/>
  <c r="J712" i="3" s="1"/>
  <c r="P37" i="2"/>
  <c r="S37" i="2"/>
  <c r="T37" i="2"/>
  <c r="A38" i="2"/>
  <c r="B38" i="2"/>
  <c r="C722" i="3" s="1"/>
  <c r="C38" i="2" a="1"/>
  <c r="C38" i="2" s="1"/>
  <c r="I718" i="3" s="1"/>
  <c r="D38" i="2" a="1"/>
  <c r="D38" i="2" s="1"/>
  <c r="F720" i="3" s="1"/>
  <c r="G38" i="2" a="1"/>
  <c r="G38" i="2" s="1"/>
  <c r="H38" i="2"/>
  <c r="J718" i="3" s="1"/>
  <c r="P38" i="2"/>
  <c r="S38" i="2"/>
  <c r="T38" i="2"/>
  <c r="A39" i="2"/>
  <c r="B39" i="2"/>
  <c r="C725" i="3" s="1"/>
  <c r="C39" i="2" a="1"/>
  <c r="C39" i="2" s="1"/>
  <c r="I726" i="3" s="1"/>
  <c r="D39" i="2" a="1"/>
  <c r="D39" i="2" s="1"/>
  <c r="G39" i="2" a="1"/>
  <c r="G39" i="2" s="1"/>
  <c r="H727" i="3" s="1"/>
  <c r="H39" i="2"/>
  <c r="J724" i="3" s="1"/>
  <c r="P39" i="2"/>
  <c r="S39" i="2"/>
  <c r="T39" i="2"/>
  <c r="A40" i="2"/>
  <c r="B40" i="2"/>
  <c r="C730" i="3" s="1"/>
  <c r="C40" i="2" a="1"/>
  <c r="C40" i="2" s="1"/>
  <c r="I730" i="3" s="1"/>
  <c r="D40" i="2" a="1"/>
  <c r="D40" i="2" s="1"/>
  <c r="F732" i="3" s="1"/>
  <c r="G40" i="2" a="1"/>
  <c r="G40" i="2" s="1"/>
  <c r="H734" i="3" s="1"/>
  <c r="H40" i="2"/>
  <c r="J730" i="3" s="1"/>
  <c r="P40" i="2"/>
  <c r="S40" i="2"/>
  <c r="T40" i="2"/>
  <c r="A41" i="2"/>
  <c r="B41" i="2"/>
  <c r="C738" i="3" s="1"/>
  <c r="C41" i="2" a="1"/>
  <c r="C41" i="2" s="1"/>
  <c r="I738" i="3" s="1"/>
  <c r="D41" i="2" a="1"/>
  <c r="D41" i="2" s="1"/>
  <c r="F740" i="3" s="1"/>
  <c r="G41" i="2" a="1"/>
  <c r="G41" i="2" s="1"/>
  <c r="H737" i="3" s="1"/>
  <c r="H41" i="2"/>
  <c r="J736" i="3" s="1"/>
  <c r="P41" i="2"/>
  <c r="S41" i="2"/>
  <c r="T41" i="2"/>
  <c r="A42" i="2"/>
  <c r="B42" i="2"/>
  <c r="C746" i="3" s="1"/>
  <c r="C42" i="2" a="1"/>
  <c r="C42" i="2" s="1"/>
  <c r="I742" i="3" s="1"/>
  <c r="D42" i="2" a="1"/>
  <c r="D42" i="2" s="1"/>
  <c r="I747" i="3" s="1"/>
  <c r="G42" i="2" a="1"/>
  <c r="G42" i="2" s="1"/>
  <c r="H742" i="3" s="1"/>
  <c r="H42" i="2"/>
  <c r="J742" i="3" s="1"/>
  <c r="P42" i="2"/>
  <c r="S42" i="2"/>
  <c r="T42" i="2"/>
  <c r="A43" i="2"/>
  <c r="B43" i="2"/>
  <c r="C749" i="3" s="1"/>
  <c r="C43" i="2" a="1"/>
  <c r="C43" i="2" s="1"/>
  <c r="I750" i="3" s="1"/>
  <c r="D43" i="2" a="1"/>
  <c r="D43" i="2" s="1"/>
  <c r="I753" i="3" s="1"/>
  <c r="G43" i="2" a="1"/>
  <c r="G43" i="2" s="1"/>
  <c r="H750" i="3" s="1"/>
  <c r="H43" i="2"/>
  <c r="J748" i="3" s="1"/>
  <c r="P43" i="2"/>
  <c r="S43" i="2"/>
  <c r="T43" i="2"/>
  <c r="A44" i="2"/>
  <c r="B44" i="2"/>
  <c r="C754" i="3" s="1"/>
  <c r="C44" i="2" a="1"/>
  <c r="C44" i="2" s="1"/>
  <c r="L44" i="2" s="1"/>
  <c r="D44" i="2" a="1"/>
  <c r="D44" i="2" s="1"/>
  <c r="E44" i="2" s="1"/>
  <c r="G756" i="3" s="1"/>
  <c r="G44" i="2" a="1"/>
  <c r="G44" i="2" s="1"/>
  <c r="H758" i="3" s="1"/>
  <c r="H44" i="2"/>
  <c r="Q44" i="2" s="1"/>
  <c r="K758" i="3" s="1"/>
  <c r="P44" i="2"/>
  <c r="S44" i="2"/>
  <c r="T44" i="2"/>
  <c r="A45" i="2"/>
  <c r="B45" i="2"/>
  <c r="C762" i="3" s="1"/>
  <c r="C45" i="2" a="1"/>
  <c r="C45" i="2" s="1"/>
  <c r="I762" i="3" s="1"/>
  <c r="D45" i="2" a="1"/>
  <c r="D45" i="2" s="1"/>
  <c r="E45" i="2" s="1"/>
  <c r="G761" i="3" s="1"/>
  <c r="G45" i="2" a="1"/>
  <c r="G45" i="2" s="1"/>
  <c r="H761" i="3" s="1"/>
  <c r="H45" i="2"/>
  <c r="Q45" i="2" s="1"/>
  <c r="K764" i="3" s="1"/>
  <c r="P45" i="2"/>
  <c r="S45" i="2"/>
  <c r="T45" i="2"/>
  <c r="A46" i="2"/>
  <c r="B46" i="2"/>
  <c r="C770" i="3" s="1"/>
  <c r="C46" i="2" a="1"/>
  <c r="C46" i="2" s="1"/>
  <c r="L46" i="2" s="1"/>
  <c r="D46" i="2" a="1"/>
  <c r="D46" i="2" s="1"/>
  <c r="E46" i="2" s="1"/>
  <c r="G769" i="3" s="1"/>
  <c r="G46" i="2" a="1"/>
  <c r="G46" i="2" s="1"/>
  <c r="H766" i="3" s="1"/>
  <c r="H46" i="2"/>
  <c r="Q46" i="2" s="1"/>
  <c r="K770" i="3" s="1"/>
  <c r="P46" i="2"/>
  <c r="S46" i="2"/>
  <c r="T46" i="2"/>
  <c r="A47" i="2"/>
  <c r="B47" i="2"/>
  <c r="C773" i="3" s="1"/>
  <c r="C47" i="2" a="1"/>
  <c r="C47" i="2" s="1"/>
  <c r="I774" i="3" s="1"/>
  <c r="D47" i="2" a="1"/>
  <c r="D47" i="2" s="1"/>
  <c r="E47" i="2" s="1"/>
  <c r="G777" i="3" s="1"/>
  <c r="G47" i="2" a="1"/>
  <c r="G47" i="2" s="1"/>
  <c r="H774" i="3" s="1"/>
  <c r="H47" i="2"/>
  <c r="J772" i="3" s="1"/>
  <c r="P47" i="2"/>
  <c r="S47" i="2"/>
  <c r="T47" i="2"/>
  <c r="A48" i="2"/>
  <c r="B48" i="2"/>
  <c r="C778" i="3" s="1"/>
  <c r="C48" i="2" a="1"/>
  <c r="C48" i="2" s="1"/>
  <c r="I780" i="3" s="1"/>
  <c r="D48" i="2" a="1"/>
  <c r="D48" i="2" s="1"/>
  <c r="E48" i="2" s="1"/>
  <c r="G780" i="3" s="1"/>
  <c r="G48" i="2" a="1"/>
  <c r="G48" i="2" s="1"/>
  <c r="H782" i="3" s="1"/>
  <c r="H48" i="2"/>
  <c r="J778" i="3" s="1"/>
  <c r="P48" i="2"/>
  <c r="S48" i="2"/>
  <c r="T48" i="2"/>
  <c r="A49" i="2"/>
  <c r="B49" i="2"/>
  <c r="C786" i="3" s="1"/>
  <c r="C49" i="2" a="1"/>
  <c r="C49" i="2" s="1"/>
  <c r="I786" i="3" s="1"/>
  <c r="D49" i="2" a="1"/>
  <c r="D49" i="2" s="1"/>
  <c r="E49" i="2" s="1"/>
  <c r="G785" i="3" s="1"/>
  <c r="G49" i="2" a="1"/>
  <c r="G49" i="2" s="1"/>
  <c r="H785" i="3" s="1"/>
  <c r="H49" i="2"/>
  <c r="J784" i="3" s="1"/>
  <c r="P49" i="2"/>
  <c r="S49" i="2"/>
  <c r="T49" i="2"/>
  <c r="A50" i="2"/>
  <c r="B50" i="2"/>
  <c r="C794" i="3" s="1"/>
  <c r="C50" i="2" a="1"/>
  <c r="C50" i="2" s="1"/>
  <c r="F50" i="2" s="1"/>
  <c r="I50" i="2" s="1"/>
  <c r="D50" i="2" a="1"/>
  <c r="D50" i="2" s="1"/>
  <c r="E50" i="2" s="1"/>
  <c r="G793" i="3" s="1"/>
  <c r="G50" i="2" a="1"/>
  <c r="G50" i="2" s="1"/>
  <c r="H790" i="3" s="1"/>
  <c r="H50" i="2"/>
  <c r="Q50" i="2" s="1"/>
  <c r="K794" i="3" s="1"/>
  <c r="P50" i="2"/>
  <c r="S50" i="2"/>
  <c r="T50" i="2"/>
  <c r="A51" i="2"/>
  <c r="B51" i="2"/>
  <c r="C797" i="3" s="1"/>
  <c r="C51" i="2" a="1"/>
  <c r="C51" i="2" s="1"/>
  <c r="I798" i="3" s="1"/>
  <c r="D51" i="2" a="1"/>
  <c r="D51" i="2" s="1"/>
  <c r="E51" i="2" s="1"/>
  <c r="G801" i="3" s="1"/>
  <c r="G51" i="2" a="1"/>
  <c r="G51" i="2" s="1"/>
  <c r="H798" i="3" s="1"/>
  <c r="H51" i="2"/>
  <c r="J796" i="3" s="1"/>
  <c r="P51" i="2"/>
  <c r="S51" i="2"/>
  <c r="T51" i="2"/>
  <c r="A2" i="1"/>
  <c r="B2" i="1"/>
  <c r="C4" i="3" s="1"/>
  <c r="C2" i="1" a="1"/>
  <c r="C2" i="1" s="1"/>
  <c r="F6" i="3" s="1"/>
  <c r="E2" i="1" a="1"/>
  <c r="E2" i="1" s="1"/>
  <c r="F2" i="1"/>
  <c r="G2" i="1"/>
  <c r="K2" i="1"/>
  <c r="M2" i="1"/>
  <c r="A3" i="1"/>
  <c r="L11" i="3" s="1"/>
  <c r="B3" i="1"/>
  <c r="C7" i="3" s="1"/>
  <c r="C3" i="1" a="1"/>
  <c r="C3" i="1" s="1"/>
  <c r="F9" i="3" s="1"/>
  <c r="E3" i="1" a="1"/>
  <c r="E3" i="1" s="1"/>
  <c r="F3" i="1"/>
  <c r="G3" i="1"/>
  <c r="K3" i="1"/>
  <c r="M3" i="1"/>
  <c r="A4" i="1"/>
  <c r="B4" i="1"/>
  <c r="C12" i="3" s="1"/>
  <c r="C4" i="1" a="1"/>
  <c r="C4" i="1" s="1"/>
  <c r="F14" i="3" s="1"/>
  <c r="E4" i="1" a="1"/>
  <c r="E4" i="1" s="1"/>
  <c r="F4" i="1"/>
  <c r="G4" i="1"/>
  <c r="K4" i="1"/>
  <c r="M4" i="1"/>
  <c r="A5" i="1"/>
  <c r="B5" i="1"/>
  <c r="C20" i="3" s="1"/>
  <c r="C5" i="1" a="1"/>
  <c r="C5" i="1" s="1"/>
  <c r="F17" i="3" s="1"/>
  <c r="E5" i="1" a="1"/>
  <c r="E5" i="1" s="1"/>
  <c r="F5" i="1"/>
  <c r="G5" i="1"/>
  <c r="K5" i="1"/>
  <c r="M5" i="1"/>
  <c r="A6" i="1"/>
  <c r="B6" i="1"/>
  <c r="C23" i="3" s="1"/>
  <c r="C6" i="1" a="1"/>
  <c r="C6" i="1" s="1"/>
  <c r="F22" i="3" s="1"/>
  <c r="E6" i="1" a="1"/>
  <c r="E6" i="1" s="1"/>
  <c r="F6" i="1"/>
  <c r="G6" i="1"/>
  <c r="K6" i="1"/>
  <c r="M6" i="1"/>
  <c r="A7" i="1"/>
  <c r="B7" i="1"/>
  <c r="C28" i="3" s="1"/>
  <c r="C7" i="1" a="1"/>
  <c r="C7" i="1" s="1"/>
  <c r="F30" i="3" s="1"/>
  <c r="E7" i="1" a="1"/>
  <c r="E7" i="1" s="1"/>
  <c r="F7" i="1"/>
  <c r="G7" i="1"/>
  <c r="K7" i="1"/>
  <c r="M7" i="1"/>
  <c r="A8" i="1"/>
  <c r="B8" i="1"/>
  <c r="C36" i="3" s="1"/>
  <c r="C8" i="1" a="1"/>
  <c r="C8" i="1" s="1"/>
  <c r="F33" i="3" s="1"/>
  <c r="F8" i="1"/>
  <c r="G8" i="1"/>
  <c r="K8" i="1"/>
  <c r="M8" i="1"/>
  <c r="A9" i="1"/>
  <c r="B9" i="1"/>
  <c r="C39" i="3" s="1"/>
  <c r="C9" i="1" a="1"/>
  <c r="C9" i="1" s="1"/>
  <c r="F38" i="3" s="1"/>
  <c r="E9" i="1" a="1"/>
  <c r="E9" i="1" s="1"/>
  <c r="F9" i="1"/>
  <c r="G9" i="1"/>
  <c r="K9" i="1"/>
  <c r="M9" i="1"/>
  <c r="A10" i="1"/>
  <c r="B10" i="1"/>
  <c r="C44" i="3" s="1"/>
  <c r="C10" i="1" a="1"/>
  <c r="C10" i="1" s="1"/>
  <c r="F46" i="3" s="1"/>
  <c r="E10" i="1" a="1"/>
  <c r="E10" i="1" s="1"/>
  <c r="F10" i="1"/>
  <c r="G10" i="1"/>
  <c r="K10" i="1"/>
  <c r="M10" i="1"/>
  <c r="A11" i="1"/>
  <c r="B11" i="1"/>
  <c r="C47" i="3" s="1"/>
  <c r="C11" i="1" a="1"/>
  <c r="C11" i="1" s="1"/>
  <c r="F49" i="3" s="1"/>
  <c r="E11" i="1" a="1"/>
  <c r="E11" i="1" s="1"/>
  <c r="F11" i="1"/>
  <c r="G11" i="1"/>
  <c r="K11" i="1"/>
  <c r="M11" i="1"/>
  <c r="A12" i="1"/>
  <c r="B12" i="1"/>
  <c r="C52" i="3" s="1"/>
  <c r="C12" i="1" a="1"/>
  <c r="C12" i="1" s="1"/>
  <c r="F54" i="3" s="1"/>
  <c r="E12" i="1" a="1"/>
  <c r="E12" i="1" s="1"/>
  <c r="F12" i="1"/>
  <c r="G12" i="1"/>
  <c r="K12" i="1"/>
  <c r="M12" i="1"/>
  <c r="A13" i="1"/>
  <c r="I58" i="3" s="1"/>
  <c r="B13" i="1"/>
  <c r="C60" i="3" s="1"/>
  <c r="C13" i="1" a="1"/>
  <c r="C13" i="1" s="1"/>
  <c r="F57" i="3" s="1"/>
  <c r="E13" i="1" a="1"/>
  <c r="E13" i="1" s="1"/>
  <c r="F13" i="1"/>
  <c r="G13" i="1"/>
  <c r="K13" i="1"/>
  <c r="M13" i="1"/>
  <c r="A14" i="1"/>
  <c r="L66" i="3" s="1"/>
  <c r="B14" i="1"/>
  <c r="C63" i="3" s="1"/>
  <c r="C14" i="1" a="1"/>
  <c r="C14" i="1" s="1"/>
  <c r="F62" i="3" s="1"/>
  <c r="E14" i="1" a="1"/>
  <c r="E14" i="1" s="1"/>
  <c r="F14" i="1"/>
  <c r="G14" i="1"/>
  <c r="K14" i="1"/>
  <c r="M14" i="1"/>
  <c r="A15" i="1"/>
  <c r="B15" i="1"/>
  <c r="C68" i="3" s="1"/>
  <c r="C15" i="1" a="1"/>
  <c r="C15" i="1" s="1"/>
  <c r="F70" i="3" s="1"/>
  <c r="E15" i="1" a="1"/>
  <c r="E15" i="1" s="1"/>
  <c r="F15" i="1"/>
  <c r="G15" i="1"/>
  <c r="K15" i="1"/>
  <c r="M15" i="1"/>
  <c r="A16" i="1"/>
  <c r="L73" i="3" s="1"/>
  <c r="B16" i="1"/>
  <c r="C76" i="3" s="1"/>
  <c r="C16" i="1" a="1"/>
  <c r="C16" i="1" s="1"/>
  <c r="F73" i="3" s="1"/>
  <c r="E16" i="1" a="1"/>
  <c r="E16" i="1" s="1"/>
  <c r="F16" i="1"/>
  <c r="G16" i="1"/>
  <c r="K16" i="1"/>
  <c r="M16" i="1"/>
  <c r="A17" i="1"/>
  <c r="L77" i="3" s="1"/>
  <c r="B17" i="1"/>
  <c r="C79" i="3" s="1"/>
  <c r="C17" i="1" a="1"/>
  <c r="C17" i="1" s="1"/>
  <c r="F78" i="3" s="1"/>
  <c r="E17" i="1" a="1"/>
  <c r="E17" i="1" s="1"/>
  <c r="F17" i="1"/>
  <c r="G17" i="1"/>
  <c r="K17" i="1"/>
  <c r="M17" i="1"/>
  <c r="A18" i="1"/>
  <c r="B18" i="1"/>
  <c r="C84" i="3" s="1"/>
  <c r="C18" i="1" a="1"/>
  <c r="C18" i="1" s="1"/>
  <c r="F86" i="3" s="1"/>
  <c r="E18" i="1" a="1"/>
  <c r="E18" i="1" s="1"/>
  <c r="F18" i="1"/>
  <c r="G18" i="1"/>
  <c r="K18" i="1"/>
  <c r="M18" i="1"/>
  <c r="A19" i="1"/>
  <c r="B19" i="1"/>
  <c r="C87" i="3" s="1"/>
  <c r="C19" i="1" a="1"/>
  <c r="C19" i="1" s="1"/>
  <c r="F89" i="3" s="1"/>
  <c r="E19" i="1" a="1"/>
  <c r="E19" i="1" s="1"/>
  <c r="F19" i="1"/>
  <c r="G19" i="1"/>
  <c r="K19" i="1"/>
  <c r="M19" i="1"/>
  <c r="A20" i="1"/>
  <c r="B20" i="1"/>
  <c r="C92" i="3" s="1"/>
  <c r="C20" i="1" a="1"/>
  <c r="C20" i="1" s="1"/>
  <c r="F94" i="3" s="1"/>
  <c r="F20" i="1"/>
  <c r="G20" i="1"/>
  <c r="K20" i="1"/>
  <c r="M20" i="1"/>
  <c r="A21" i="1"/>
  <c r="I98" i="3" s="1"/>
  <c r="B21" i="1"/>
  <c r="C100" i="3" s="1"/>
  <c r="C21" i="1" a="1"/>
  <c r="C21" i="1" s="1"/>
  <c r="F97" i="3" s="1"/>
  <c r="E21" i="1" a="1"/>
  <c r="E21" i="1" s="1"/>
  <c r="F21" i="1"/>
  <c r="G21" i="1"/>
  <c r="K21" i="1"/>
  <c r="M21" i="1"/>
  <c r="A22" i="1"/>
  <c r="L106" i="3" s="1"/>
  <c r="B22" i="1"/>
  <c r="C103" i="3" s="1"/>
  <c r="C22" i="1" a="1"/>
  <c r="C22" i="1" s="1"/>
  <c r="F102" i="3" s="1"/>
  <c r="E22" i="1" a="1"/>
  <c r="E22" i="1" s="1"/>
  <c r="F22" i="1"/>
  <c r="G22" i="1"/>
  <c r="K22" i="1"/>
  <c r="M22" i="1"/>
  <c r="A23" i="1"/>
  <c r="B23" i="1"/>
  <c r="C108" i="3" s="1"/>
  <c r="C23" i="1" a="1"/>
  <c r="C23" i="1" s="1"/>
  <c r="F110" i="3" s="1"/>
  <c r="E23" i="1" a="1"/>
  <c r="E23" i="1" s="1"/>
  <c r="F23" i="1"/>
  <c r="G23" i="1"/>
  <c r="K23" i="1"/>
  <c r="M23" i="1"/>
  <c r="A24" i="1"/>
  <c r="L113" i="3" s="1"/>
  <c r="B24" i="1"/>
  <c r="C116" i="3" s="1"/>
  <c r="C24" i="1" a="1"/>
  <c r="C24" i="1" s="1"/>
  <c r="E24" i="1" a="1"/>
  <c r="E24" i="1" s="1"/>
  <c r="F24" i="1"/>
  <c r="G24" i="1"/>
  <c r="K24" i="1"/>
  <c r="M24" i="1"/>
  <c r="A25" i="1"/>
  <c r="L117" i="3" s="1"/>
  <c r="B25" i="1"/>
  <c r="C119" i="3" s="1"/>
  <c r="C25" i="1" a="1"/>
  <c r="C25" i="1" s="1"/>
  <c r="F118" i="3" s="1"/>
  <c r="F25" i="1"/>
  <c r="G25" i="1"/>
  <c r="K25" i="1"/>
  <c r="M25" i="1"/>
  <c r="A26" i="1"/>
  <c r="B26" i="1"/>
  <c r="C124" i="3" s="1"/>
  <c r="C26" i="1" a="1"/>
  <c r="C26" i="1" s="1"/>
  <c r="F126" i="3" s="1"/>
  <c r="E26" i="1" a="1"/>
  <c r="E26" i="1" s="1"/>
  <c r="F26" i="1"/>
  <c r="G26" i="1"/>
  <c r="K26" i="1"/>
  <c r="M26" i="1"/>
  <c r="A27" i="1"/>
  <c r="B27" i="1"/>
  <c r="C129" i="3" s="1"/>
  <c r="C27" i="1" a="1"/>
  <c r="C27" i="1" s="1"/>
  <c r="F131" i="3" s="1"/>
  <c r="E27" i="1" a="1"/>
  <c r="E27" i="1" s="1"/>
  <c r="F27" i="1"/>
  <c r="G27" i="1"/>
  <c r="K27" i="1"/>
  <c r="M27" i="1"/>
  <c r="A28" i="1"/>
  <c r="B28" i="1"/>
  <c r="C132" i="3" s="1"/>
  <c r="C28" i="1" a="1"/>
  <c r="C28" i="1" s="1"/>
  <c r="F134" i="3" s="1"/>
  <c r="F28" i="1"/>
  <c r="G28" i="1"/>
  <c r="K28" i="1"/>
  <c r="M28" i="1"/>
  <c r="A29" i="1"/>
  <c r="I140" i="3" s="1"/>
  <c r="B29" i="1"/>
  <c r="C137" i="3" s="1"/>
  <c r="C29" i="1" a="1"/>
  <c r="C29" i="1" s="1"/>
  <c r="F139" i="3" s="1"/>
  <c r="F29" i="1"/>
  <c r="G29" i="1"/>
  <c r="K29" i="1"/>
  <c r="M29" i="1"/>
  <c r="A30" i="1"/>
  <c r="B30" i="1"/>
  <c r="C145" i="3" s="1"/>
  <c r="C30" i="1" a="1"/>
  <c r="C30" i="1" s="1"/>
  <c r="F142" i="3" s="1"/>
  <c r="E30" i="1" a="1"/>
  <c r="E30" i="1" s="1"/>
  <c r="F30" i="1"/>
  <c r="G30" i="1"/>
  <c r="K30" i="1"/>
  <c r="M30" i="1"/>
  <c r="A31" i="1"/>
  <c r="B31" i="1"/>
  <c r="C148" i="3" s="1"/>
  <c r="C31" i="1" a="1"/>
  <c r="C31" i="1" s="1"/>
  <c r="F147" i="3" s="1"/>
  <c r="E31" i="1" a="1"/>
  <c r="E31" i="1" s="1"/>
  <c r="F31" i="1"/>
  <c r="G31" i="1"/>
  <c r="K31" i="1"/>
  <c r="M31" i="1"/>
  <c r="A32" i="1"/>
  <c r="I155" i="3" s="1"/>
  <c r="B32" i="1"/>
  <c r="C153" i="3" s="1"/>
  <c r="C32" i="1" a="1"/>
  <c r="C32" i="1" s="1"/>
  <c r="F155" i="3" s="1"/>
  <c r="E32" i="1" a="1"/>
  <c r="E32" i="1" s="1"/>
  <c r="F32" i="1"/>
  <c r="G32" i="1"/>
  <c r="K32" i="1"/>
  <c r="M32" i="1"/>
  <c r="A33" i="1"/>
  <c r="B33" i="1"/>
  <c r="C161" i="3" s="1"/>
  <c r="C33" i="1" a="1"/>
  <c r="C33" i="1" s="1"/>
  <c r="F158" i="3" s="1"/>
  <c r="E33" i="1" a="1"/>
  <c r="E33" i="1" s="1"/>
  <c r="F33" i="1"/>
  <c r="G33" i="1"/>
  <c r="K33" i="1"/>
  <c r="M33" i="1"/>
  <c r="A34" i="1"/>
  <c r="B34" i="1"/>
  <c r="C164" i="3" s="1"/>
  <c r="C34" i="1" a="1"/>
  <c r="C34" i="1" s="1"/>
  <c r="F163" i="3" s="1"/>
  <c r="F34" i="1"/>
  <c r="G34" i="1"/>
  <c r="K34" i="1"/>
  <c r="M34" i="1"/>
  <c r="A35" i="1"/>
  <c r="B35" i="1"/>
  <c r="C169" i="3" s="1"/>
  <c r="C35" i="1" a="1"/>
  <c r="C35" i="1" s="1"/>
  <c r="F171" i="3" s="1"/>
  <c r="E35" i="1" a="1"/>
  <c r="E35" i="1" s="1"/>
  <c r="F35" i="1"/>
  <c r="G35" i="1"/>
  <c r="K35" i="1"/>
  <c r="M35" i="1"/>
  <c r="A36" i="1"/>
  <c r="B36" i="1"/>
  <c r="C172" i="3" s="1"/>
  <c r="C36" i="1" a="1"/>
  <c r="C36" i="1" s="1"/>
  <c r="F174" i="3" s="1"/>
  <c r="E36" i="1" a="1"/>
  <c r="E36" i="1" s="1"/>
  <c r="F36" i="1"/>
  <c r="G36" i="1"/>
  <c r="K36" i="1"/>
  <c r="M36" i="1"/>
  <c r="A37" i="1"/>
  <c r="B37" i="1"/>
  <c r="C177" i="3" s="1"/>
  <c r="C37" i="1" a="1"/>
  <c r="C37" i="1" s="1"/>
  <c r="F179" i="3" s="1"/>
  <c r="E37" i="1" a="1"/>
  <c r="E37" i="1" s="1"/>
  <c r="F37" i="1"/>
  <c r="G37" i="1"/>
  <c r="K37" i="1"/>
  <c r="M37" i="1"/>
  <c r="A38" i="1"/>
  <c r="B38" i="1"/>
  <c r="C185" i="3" s="1"/>
  <c r="C38" i="1" a="1"/>
  <c r="C38" i="1" s="1"/>
  <c r="F182" i="3" s="1"/>
  <c r="E38" i="1" a="1"/>
  <c r="E38" i="1" s="1"/>
  <c r="F38" i="1"/>
  <c r="G38" i="1"/>
  <c r="K38" i="1"/>
  <c r="M38" i="1"/>
  <c r="A39" i="1"/>
  <c r="B39" i="1"/>
  <c r="C188" i="3" s="1"/>
  <c r="C39" i="1" a="1"/>
  <c r="C39" i="1" s="1"/>
  <c r="F187" i="3" s="1"/>
  <c r="E39" i="1" a="1"/>
  <c r="E39" i="1" s="1"/>
  <c r="F39" i="1"/>
  <c r="G39" i="1"/>
  <c r="K39" i="1"/>
  <c r="M39" i="1"/>
  <c r="A40" i="1"/>
  <c r="B40" i="1"/>
  <c r="C193" i="3" s="1"/>
  <c r="C40" i="1" a="1"/>
  <c r="C40" i="1" s="1"/>
  <c r="F195" i="3" s="1"/>
  <c r="E40" i="1" a="1"/>
  <c r="E40" i="1" s="1"/>
  <c r="F40" i="1"/>
  <c r="G40" i="1"/>
  <c r="K40" i="1"/>
  <c r="M40" i="1"/>
  <c r="A41" i="1"/>
  <c r="B41" i="1"/>
  <c r="C201" i="3" s="1"/>
  <c r="C41" i="1" a="1"/>
  <c r="C41" i="1" s="1"/>
  <c r="F198" i="3" s="1"/>
  <c r="E41" i="1" a="1"/>
  <c r="E41" i="1" s="1"/>
  <c r="F41" i="1"/>
  <c r="G41" i="1"/>
  <c r="K41" i="1"/>
  <c r="M41" i="1"/>
  <c r="A42" i="1"/>
  <c r="B42" i="1"/>
  <c r="C204" i="3" s="1"/>
  <c r="C42" i="1" a="1"/>
  <c r="C42" i="1" s="1"/>
  <c r="F203" i="3" s="1"/>
  <c r="E42" i="1" a="1"/>
  <c r="E42" i="1" s="1"/>
  <c r="F42" i="1"/>
  <c r="G42" i="1"/>
  <c r="K42" i="1"/>
  <c r="M42" i="1"/>
  <c r="A43" i="1"/>
  <c r="B43" i="1"/>
  <c r="C209" i="3" s="1"/>
  <c r="C43" i="1" a="1"/>
  <c r="C43" i="1" s="1"/>
  <c r="F211" i="3" s="1"/>
  <c r="E43" i="1" a="1"/>
  <c r="E43" i="1" s="1"/>
  <c r="F43" i="1"/>
  <c r="G43" i="1"/>
  <c r="K43" i="1"/>
  <c r="M43" i="1"/>
  <c r="A44" i="1"/>
  <c r="I213" i="3" s="1"/>
  <c r="B44" i="1"/>
  <c r="C212" i="3" s="1"/>
  <c r="C44" i="1" a="1"/>
  <c r="C44" i="1" s="1"/>
  <c r="F214" i="3" s="1"/>
  <c r="E44" i="1" a="1"/>
  <c r="E44" i="1" s="1"/>
  <c r="F44" i="1"/>
  <c r="G44" i="1"/>
  <c r="K44" i="1"/>
  <c r="M44" i="1"/>
  <c r="A45" i="1"/>
  <c r="B45" i="1"/>
  <c r="C217" i="3" s="1"/>
  <c r="C45" i="1" a="1"/>
  <c r="C45" i="1" s="1"/>
  <c r="F219" i="3" s="1"/>
  <c r="F45" i="1"/>
  <c r="G45" i="1"/>
  <c r="K45" i="1"/>
  <c r="M45" i="1"/>
  <c r="A46" i="1"/>
  <c r="L225" i="3" s="1"/>
  <c r="B46" i="1"/>
  <c r="C225" i="3" s="1"/>
  <c r="C46" i="1" a="1"/>
  <c r="C46" i="1" s="1"/>
  <c r="F222" i="3" s="1"/>
  <c r="E46" i="1" a="1"/>
  <c r="E46" i="1" s="1"/>
  <c r="F46" i="1"/>
  <c r="G46" i="1"/>
  <c r="K46" i="1"/>
  <c r="M46" i="1"/>
  <c r="A47" i="1"/>
  <c r="B47" i="1"/>
  <c r="C228" i="3" s="1"/>
  <c r="C47" i="1" a="1"/>
  <c r="C47" i="1" s="1"/>
  <c r="F227" i="3" s="1"/>
  <c r="E47" i="1" a="1"/>
  <c r="E47" i="1" s="1"/>
  <c r="F47" i="1"/>
  <c r="G47" i="1"/>
  <c r="K47" i="1"/>
  <c r="M47" i="1"/>
  <c r="A48" i="1"/>
  <c r="B48" i="1"/>
  <c r="C233" i="3" s="1"/>
  <c r="C48" i="1" a="1"/>
  <c r="C48" i="1" s="1"/>
  <c r="F235" i="3" s="1"/>
  <c r="E48" i="1" a="1"/>
  <c r="E48" i="1" s="1"/>
  <c r="F48" i="1"/>
  <c r="G48" i="1"/>
  <c r="K48" i="1"/>
  <c r="M48" i="1"/>
  <c r="A49" i="1"/>
  <c r="B49" i="1"/>
  <c r="C241" i="3" s="1"/>
  <c r="C49" i="1" a="1"/>
  <c r="C49" i="1" s="1"/>
  <c r="F238" i="3" s="1"/>
  <c r="E49" i="1" a="1"/>
  <c r="E49" i="1" s="1"/>
  <c r="F49" i="1"/>
  <c r="G49" i="1"/>
  <c r="K49" i="1"/>
  <c r="M49" i="1"/>
  <c r="A50" i="1"/>
  <c r="I246" i="3" s="1"/>
  <c r="B50" i="1"/>
  <c r="C244" i="3" s="1"/>
  <c r="C50" i="1" a="1"/>
  <c r="C50" i="1" s="1"/>
  <c r="F243" i="3" s="1"/>
  <c r="E50" i="1" a="1"/>
  <c r="E50" i="1" s="1"/>
  <c r="F50" i="1"/>
  <c r="G50" i="1"/>
  <c r="K50" i="1"/>
  <c r="M50" i="1"/>
  <c r="A51" i="1"/>
  <c r="B51" i="1"/>
  <c r="C249" i="3" s="1"/>
  <c r="C51" i="1" a="1"/>
  <c r="C51" i="1" s="1"/>
  <c r="F251" i="3" s="1"/>
  <c r="E51" i="1" a="1"/>
  <c r="E51" i="1" s="1"/>
  <c r="F51" i="1"/>
  <c r="G51" i="1"/>
  <c r="K51" i="1"/>
  <c r="M51" i="1"/>
  <c r="A52" i="1"/>
  <c r="B52" i="1"/>
  <c r="C254" i="3" s="1"/>
  <c r="C52" i="1" a="1"/>
  <c r="C52" i="1" s="1"/>
  <c r="F256" i="3" s="1"/>
  <c r="E52" i="1" a="1"/>
  <c r="E52" i="1" s="1"/>
  <c r="F52" i="1"/>
  <c r="G52" i="1"/>
  <c r="K52" i="1"/>
  <c r="M52" i="1"/>
  <c r="A53" i="1"/>
  <c r="B53" i="1"/>
  <c r="C257" i="3" s="1"/>
  <c r="C53" i="1" a="1"/>
  <c r="C53" i="1" s="1"/>
  <c r="F259" i="3" s="1"/>
  <c r="E53" i="1" a="1"/>
  <c r="E53" i="1" s="1"/>
  <c r="F53" i="1"/>
  <c r="G53" i="1"/>
  <c r="K53" i="1"/>
  <c r="M53" i="1"/>
  <c r="A54" i="1"/>
  <c r="B54" i="1"/>
  <c r="C262" i="3" s="1"/>
  <c r="C54" i="1" a="1"/>
  <c r="C54" i="1" s="1"/>
  <c r="F264" i="3" s="1"/>
  <c r="F54" i="1"/>
  <c r="G54" i="1"/>
  <c r="K54" i="1"/>
  <c r="M54" i="1"/>
  <c r="A55" i="1"/>
  <c r="B55" i="1"/>
  <c r="C270" i="3" s="1"/>
  <c r="C55" i="1" a="1"/>
  <c r="C55" i="1" s="1"/>
  <c r="F55" i="1"/>
  <c r="G55" i="1"/>
  <c r="K55" i="1"/>
  <c r="M55" i="1"/>
  <c r="A56" i="1"/>
  <c r="B56" i="1"/>
  <c r="C273" i="3" s="1"/>
  <c r="C56" i="1" a="1"/>
  <c r="C56" i="1" s="1"/>
  <c r="F272" i="3" s="1"/>
  <c r="F56" i="1"/>
  <c r="G56" i="1"/>
  <c r="K56" i="1"/>
  <c r="M56" i="1"/>
  <c r="A57" i="1"/>
  <c r="B57" i="1"/>
  <c r="C278" i="3" s="1"/>
  <c r="C57" i="1" a="1"/>
  <c r="C57" i="1" s="1"/>
  <c r="F280" i="3" s="1"/>
  <c r="E57" i="1" a="1"/>
  <c r="E57" i="1" s="1"/>
  <c r="F57" i="1"/>
  <c r="G57" i="1"/>
  <c r="K57" i="1"/>
  <c r="M57" i="1"/>
  <c r="A58" i="1"/>
  <c r="B58" i="1"/>
  <c r="C286" i="3" s="1"/>
  <c r="C58" i="1" a="1"/>
  <c r="C58" i="1" s="1"/>
  <c r="F283" i="3" s="1"/>
  <c r="E58" i="1" a="1"/>
  <c r="E58" i="1" s="1"/>
  <c r="F58" i="1"/>
  <c r="G58" i="1"/>
  <c r="K58" i="1"/>
  <c r="M58" i="1"/>
  <c r="A59" i="1"/>
  <c r="B59" i="1"/>
  <c r="C289" i="3" s="1"/>
  <c r="C59" i="1" a="1"/>
  <c r="C59" i="1" s="1"/>
  <c r="F288" i="3" s="1"/>
  <c r="E59" i="1" a="1"/>
  <c r="E59" i="1" s="1"/>
  <c r="F59" i="1"/>
  <c r="G59" i="1"/>
  <c r="K59" i="1"/>
  <c r="M59" i="1"/>
  <c r="A60" i="1"/>
  <c r="B60" i="1"/>
  <c r="C294" i="3" s="1"/>
  <c r="C60" i="1" a="1"/>
  <c r="C60" i="1" s="1"/>
  <c r="F296" i="3" s="1"/>
  <c r="E60" i="1" a="1"/>
  <c r="E60" i="1" s="1"/>
  <c r="F60" i="1"/>
  <c r="G60" i="1"/>
  <c r="K60" i="1"/>
  <c r="M60" i="1"/>
  <c r="A61" i="1"/>
  <c r="B61" i="1"/>
  <c r="C297" i="3" s="1"/>
  <c r="C61" i="1" a="1"/>
  <c r="C61" i="1" s="1"/>
  <c r="F299" i="3" s="1"/>
  <c r="E61" i="1" a="1"/>
  <c r="E61" i="1" s="1"/>
  <c r="F61" i="1"/>
  <c r="G61" i="1"/>
  <c r="K61" i="1"/>
  <c r="M61" i="1"/>
  <c r="A62" i="1"/>
  <c r="I303" i="3" s="1"/>
  <c r="B62" i="1"/>
  <c r="C302" i="3" s="1"/>
  <c r="C62" i="1" a="1"/>
  <c r="C62" i="1" s="1"/>
  <c r="F304" i="3" s="1"/>
  <c r="E62" i="1" a="1"/>
  <c r="E62" i="1" s="1"/>
  <c r="F62" i="1"/>
  <c r="G62" i="1"/>
  <c r="K62" i="1"/>
  <c r="M62" i="1"/>
  <c r="A63" i="1"/>
  <c r="B63" i="1"/>
  <c r="C310" i="3" s="1"/>
  <c r="C63" i="1" a="1"/>
  <c r="C63" i="1" s="1"/>
  <c r="F307" i="3" s="1"/>
  <c r="E63" i="1" a="1"/>
  <c r="E63" i="1" s="1"/>
  <c r="F63" i="1"/>
  <c r="G63" i="1"/>
  <c r="K63" i="1"/>
  <c r="M63" i="1"/>
  <c r="A64" i="1"/>
  <c r="B64" i="1"/>
  <c r="C313" i="3" s="1"/>
  <c r="C64" i="1" a="1"/>
  <c r="C64" i="1" s="1"/>
  <c r="F312" i="3" s="1"/>
  <c r="E64" i="1" a="1"/>
  <c r="E64" i="1" s="1"/>
  <c r="F64" i="1"/>
  <c r="G64" i="1"/>
  <c r="K64" i="1"/>
  <c r="M64" i="1"/>
  <c r="A65" i="1"/>
  <c r="B65" i="1"/>
  <c r="C318" i="3" s="1"/>
  <c r="C65" i="1" a="1"/>
  <c r="C65" i="1" s="1"/>
  <c r="F320" i="3" s="1"/>
  <c r="E65" i="1" a="1"/>
  <c r="E65" i="1" s="1"/>
  <c r="F65" i="1"/>
  <c r="G65" i="1"/>
  <c r="K65" i="1"/>
  <c r="M65" i="1"/>
  <c r="A66" i="1"/>
  <c r="B66" i="1"/>
  <c r="C326" i="3" s="1"/>
  <c r="C66" i="1" a="1"/>
  <c r="C66" i="1" s="1"/>
  <c r="F323" i="3" s="1"/>
  <c r="F66" i="1"/>
  <c r="G66" i="1"/>
  <c r="K66" i="1"/>
  <c r="M66" i="1"/>
  <c r="A67" i="1"/>
  <c r="L327" i="3" s="1"/>
  <c r="B67" i="1"/>
  <c r="C329" i="3" s="1"/>
  <c r="C67" i="1" a="1"/>
  <c r="C67" i="1" s="1"/>
  <c r="F328" i="3" s="1"/>
  <c r="E67" i="1" a="1"/>
  <c r="E67" i="1" s="1"/>
  <c r="F67" i="1"/>
  <c r="G67" i="1"/>
  <c r="K67" i="1"/>
  <c r="M67" i="1"/>
  <c r="A68" i="1"/>
  <c r="B68" i="1"/>
  <c r="C334" i="3" s="1"/>
  <c r="C68" i="1" a="1"/>
  <c r="C68" i="1" s="1"/>
  <c r="F336" i="3" s="1"/>
  <c r="E68" i="1" a="1"/>
  <c r="E68" i="1" s="1"/>
  <c r="F68" i="1"/>
  <c r="G68" i="1"/>
  <c r="K68" i="1"/>
  <c r="M68" i="1"/>
  <c r="A69" i="1"/>
  <c r="B69" i="1"/>
  <c r="C337" i="3" s="1"/>
  <c r="C69" i="1" a="1"/>
  <c r="C69" i="1" s="1"/>
  <c r="F339" i="3" s="1"/>
  <c r="E69" i="1" a="1"/>
  <c r="E69" i="1" s="1"/>
  <c r="F69" i="1"/>
  <c r="G69" i="1"/>
  <c r="K69" i="1"/>
  <c r="M69" i="1"/>
  <c r="A70" i="1"/>
  <c r="B70" i="1"/>
  <c r="C342" i="3" s="1"/>
  <c r="C70" i="1" a="1"/>
  <c r="C70" i="1" s="1"/>
  <c r="F344" i="3" s="1"/>
  <c r="E70" i="1" a="1"/>
  <c r="E70" i="1" s="1"/>
  <c r="F70" i="1"/>
  <c r="G70" i="1"/>
  <c r="K70" i="1"/>
  <c r="M70" i="1"/>
  <c r="A71" i="1"/>
  <c r="B71" i="1"/>
  <c r="C350" i="3" s="1"/>
  <c r="C71" i="1" a="1"/>
  <c r="C71" i="1" s="1"/>
  <c r="F347" i="3" s="1"/>
  <c r="F71" i="1"/>
  <c r="G71" i="1"/>
  <c r="K71" i="1"/>
  <c r="M71" i="1"/>
  <c r="A72" i="1"/>
  <c r="B72" i="1"/>
  <c r="C353" i="3" s="1"/>
  <c r="C72" i="1" a="1"/>
  <c r="C72" i="1" s="1"/>
  <c r="F352" i="3" s="1"/>
  <c r="F72" i="1"/>
  <c r="G72" i="1"/>
  <c r="K72" i="1"/>
  <c r="M72" i="1"/>
  <c r="A73" i="1"/>
  <c r="I361" i="3" s="1"/>
  <c r="B73" i="1"/>
  <c r="C358" i="3" s="1"/>
  <c r="C73" i="1" a="1"/>
  <c r="C73" i="1" s="1"/>
  <c r="F360" i="3" s="1"/>
  <c r="E73" i="1" a="1"/>
  <c r="E73" i="1" s="1"/>
  <c r="F73" i="1"/>
  <c r="G73" i="1"/>
  <c r="K73" i="1"/>
  <c r="M73" i="1"/>
  <c r="A74" i="1"/>
  <c r="B74" i="1"/>
  <c r="C366" i="3" s="1"/>
  <c r="C74" i="1" a="1"/>
  <c r="C74" i="1" s="1"/>
  <c r="F363" i="3" s="1"/>
  <c r="E74" i="1" a="1"/>
  <c r="E74" i="1" s="1"/>
  <c r="F74" i="1"/>
  <c r="G74" i="1"/>
  <c r="K74" i="1"/>
  <c r="M74" i="1"/>
  <c r="A75" i="1"/>
  <c r="B75" i="1"/>
  <c r="C369" i="3" s="1"/>
  <c r="C75" i="1" a="1"/>
  <c r="C75" i="1" s="1"/>
  <c r="F368" i="3" s="1"/>
  <c r="F75" i="1"/>
  <c r="G75" i="1"/>
  <c r="K75" i="1"/>
  <c r="M75" i="1"/>
  <c r="A76" i="1"/>
  <c r="B76" i="1"/>
  <c r="C374" i="3" s="1"/>
  <c r="C76" i="1" a="1"/>
  <c r="C76" i="1" s="1"/>
  <c r="F376" i="3" s="1"/>
  <c r="F76" i="1"/>
  <c r="G76" i="1"/>
  <c r="K76" i="1"/>
  <c r="M76" i="1"/>
  <c r="A77" i="1"/>
  <c r="B77" i="1"/>
  <c r="C379" i="3" s="1"/>
  <c r="C77" i="1" a="1"/>
  <c r="C77" i="1" s="1"/>
  <c r="F381" i="3" s="1"/>
  <c r="E77" i="1" a="1"/>
  <c r="E77" i="1" s="1"/>
  <c r="F77" i="1"/>
  <c r="G77" i="1"/>
  <c r="K77" i="1"/>
  <c r="M77" i="1"/>
  <c r="A78" i="1"/>
  <c r="B78" i="1"/>
  <c r="C382" i="3" s="1"/>
  <c r="C78" i="1" a="1"/>
  <c r="C78" i="1" s="1"/>
  <c r="F384" i="3" s="1"/>
  <c r="E78" i="1" a="1"/>
  <c r="E78" i="1" s="1"/>
  <c r="F78" i="1"/>
  <c r="G78" i="1"/>
  <c r="K78" i="1"/>
  <c r="M78" i="1"/>
  <c r="A79" i="1"/>
  <c r="B79" i="1"/>
  <c r="C387" i="3" s="1"/>
  <c r="C79" i="1" a="1"/>
  <c r="C79" i="1" s="1"/>
  <c r="E79" i="1" a="1"/>
  <c r="E79" i="1" s="1"/>
  <c r="F79" i="1"/>
  <c r="G79" i="1"/>
  <c r="K79" i="1"/>
  <c r="M79" i="1"/>
  <c r="A80" i="1"/>
  <c r="I393" i="3" s="1"/>
  <c r="B80" i="1"/>
  <c r="C395" i="3" s="1"/>
  <c r="C80" i="1" a="1"/>
  <c r="C80" i="1" s="1"/>
  <c r="F392" i="3" s="1"/>
  <c r="E80" i="1" a="1"/>
  <c r="E80" i="1" s="1"/>
  <c r="F80" i="1"/>
  <c r="G80" i="1"/>
  <c r="K80" i="1"/>
  <c r="M80" i="1"/>
  <c r="A81" i="1"/>
  <c r="B81" i="1"/>
  <c r="C398" i="3" s="1"/>
  <c r="C81" i="1" a="1"/>
  <c r="C81" i="1" s="1"/>
  <c r="F397" i="3" s="1"/>
  <c r="F81" i="1"/>
  <c r="G81" i="1"/>
  <c r="K81" i="1"/>
  <c r="M81" i="1"/>
  <c r="A82" i="1"/>
  <c r="B82" i="1"/>
  <c r="C403" i="3" s="1"/>
  <c r="C82" i="1" a="1"/>
  <c r="C82" i="1" s="1"/>
  <c r="F405" i="3" s="1"/>
  <c r="E82" i="1" a="1"/>
  <c r="E82" i="1" s="1"/>
  <c r="F82" i="1"/>
  <c r="G82" i="1"/>
  <c r="K82" i="1"/>
  <c r="M82" i="1"/>
  <c r="A83" i="1"/>
  <c r="B83" i="1"/>
  <c r="C411" i="3" s="1"/>
  <c r="C83" i="1" a="1"/>
  <c r="C83" i="1" s="1"/>
  <c r="F408" i="3" s="1"/>
  <c r="F83" i="1"/>
  <c r="G83" i="1"/>
  <c r="K83" i="1"/>
  <c r="M83" i="1"/>
  <c r="A84" i="1"/>
  <c r="B84" i="1"/>
  <c r="C414" i="3" s="1"/>
  <c r="C84" i="1" a="1"/>
  <c r="C84" i="1" s="1"/>
  <c r="F413" i="3" s="1"/>
  <c r="E84" i="1" a="1"/>
  <c r="E84" i="1" s="1"/>
  <c r="F84" i="1"/>
  <c r="G84" i="1"/>
  <c r="K84" i="1"/>
  <c r="M84" i="1"/>
  <c r="A85" i="1"/>
  <c r="L417" i="3" s="1"/>
  <c r="B85" i="1"/>
  <c r="C419" i="3" s="1"/>
  <c r="C85" i="1" a="1"/>
  <c r="C85" i="1" s="1"/>
  <c r="F421" i="3" s="1"/>
  <c r="E85" i="1" a="1"/>
  <c r="E85" i="1" s="1"/>
  <c r="F85" i="1"/>
  <c r="G85" i="1"/>
  <c r="K85" i="1"/>
  <c r="M85" i="1"/>
  <c r="A86" i="1"/>
  <c r="L423" i="3" s="1"/>
  <c r="B86" i="1"/>
  <c r="C422" i="3" s="1"/>
  <c r="C86" i="1" a="1"/>
  <c r="C86" i="1" s="1"/>
  <c r="F424" i="3" s="1"/>
  <c r="E86" i="1" a="1"/>
  <c r="E86" i="1" s="1"/>
  <c r="F86" i="1"/>
  <c r="G86" i="1"/>
  <c r="K86" i="1"/>
  <c r="M86" i="1"/>
  <c r="A87" i="1"/>
  <c r="L430" i="3" s="1"/>
  <c r="B87" i="1"/>
  <c r="C427" i="3" s="1"/>
  <c r="C87" i="1" a="1"/>
  <c r="C87" i="1" s="1"/>
  <c r="F429" i="3" s="1"/>
  <c r="F87" i="1"/>
  <c r="G87" i="1"/>
  <c r="K87" i="1"/>
  <c r="M87" i="1"/>
  <c r="A88" i="1"/>
  <c r="B88" i="1"/>
  <c r="C435" i="3" s="1"/>
  <c r="C88" i="1" a="1"/>
  <c r="C88" i="1" s="1"/>
  <c r="F432" i="3" s="1"/>
  <c r="E88" i="1" a="1"/>
  <c r="E88" i="1" s="1"/>
  <c r="F88" i="1"/>
  <c r="G88" i="1"/>
  <c r="K88" i="1"/>
  <c r="M88" i="1"/>
  <c r="A89" i="1"/>
  <c r="L441" i="3" s="1"/>
  <c r="B89" i="1"/>
  <c r="C438" i="3" s="1"/>
  <c r="C89" i="1" a="1"/>
  <c r="C89" i="1" s="1"/>
  <c r="F437" i="3" s="1"/>
  <c r="E89" i="1" a="1"/>
  <c r="E89" i="1" s="1"/>
  <c r="F89" i="1"/>
  <c r="G89" i="1"/>
  <c r="K89" i="1"/>
  <c r="M89" i="1"/>
  <c r="A90" i="1"/>
  <c r="L446" i="3" s="1"/>
  <c r="B90" i="1"/>
  <c r="C443" i="3" s="1"/>
  <c r="C90" i="1" a="1"/>
  <c r="C90" i="1" s="1"/>
  <c r="F445" i="3" s="1"/>
  <c r="E90" i="1" a="1"/>
  <c r="E90" i="1" s="1"/>
  <c r="F90" i="1"/>
  <c r="G90" i="1"/>
  <c r="K90" i="1"/>
  <c r="M90" i="1"/>
  <c r="A91" i="1"/>
  <c r="I451" i="3" s="1"/>
  <c r="B91" i="1"/>
  <c r="C451" i="3" s="1"/>
  <c r="C91" i="1" a="1"/>
  <c r="C91" i="1" s="1"/>
  <c r="F448" i="3" s="1"/>
  <c r="F91" i="1"/>
  <c r="G91" i="1"/>
  <c r="K91" i="1"/>
  <c r="M91" i="1"/>
  <c r="A92" i="1"/>
  <c r="L452" i="3" s="1"/>
  <c r="B92" i="1"/>
  <c r="C454" i="3" s="1"/>
  <c r="C92" i="1" a="1"/>
  <c r="C92" i="1" s="1"/>
  <c r="F453" i="3" s="1"/>
  <c r="E92" i="1" a="1"/>
  <c r="E92" i="1" s="1"/>
  <c r="F92" i="1"/>
  <c r="G92" i="1"/>
  <c r="K92" i="1"/>
  <c r="M92" i="1"/>
  <c r="A93" i="1"/>
  <c r="B93" i="1"/>
  <c r="C459" i="3" s="1"/>
  <c r="C93" i="1" a="1"/>
  <c r="C93" i="1" s="1"/>
  <c r="F461" i="3" s="1"/>
  <c r="F93" i="1"/>
  <c r="G93" i="1"/>
  <c r="K93" i="1"/>
  <c r="M93" i="1"/>
  <c r="A94" i="1"/>
  <c r="B94" i="1"/>
  <c r="C462" i="3" s="1"/>
  <c r="C94" i="1" a="1"/>
  <c r="C94" i="1" s="1"/>
  <c r="F464" i="3" s="1"/>
  <c r="E94" i="1" a="1"/>
  <c r="E94" i="1" s="1"/>
  <c r="F94" i="1"/>
  <c r="G94" i="1"/>
  <c r="K94" i="1"/>
  <c r="M94" i="1"/>
  <c r="A95" i="1"/>
  <c r="L470" i="3" s="1"/>
  <c r="B95" i="1"/>
  <c r="C467" i="3" s="1"/>
  <c r="C95" i="1" a="1"/>
  <c r="C95" i="1" s="1"/>
  <c r="F469" i="3" s="1"/>
  <c r="E95" i="1" a="1"/>
  <c r="E95" i="1" s="1"/>
  <c r="F95" i="1"/>
  <c r="G95" i="1"/>
  <c r="K95" i="1"/>
  <c r="M95" i="1"/>
  <c r="A96" i="1"/>
  <c r="I473" i="3" s="1"/>
  <c r="B96" i="1"/>
  <c r="C475" i="3" s="1"/>
  <c r="C96" i="1" a="1"/>
  <c r="C96" i="1" s="1"/>
  <c r="F472" i="3" s="1"/>
  <c r="F96" i="1"/>
  <c r="G96" i="1"/>
  <c r="K96" i="1"/>
  <c r="M96" i="1"/>
  <c r="A97" i="1"/>
  <c r="L481" i="3" s="1"/>
  <c r="B97" i="1"/>
  <c r="C478" i="3" s="1"/>
  <c r="C97" i="1" a="1"/>
  <c r="C97" i="1" s="1"/>
  <c r="F477" i="3" s="1"/>
  <c r="E97" i="1" a="1"/>
  <c r="E97" i="1" s="1"/>
  <c r="I477" i="3" s="1"/>
  <c r="F97" i="1"/>
  <c r="G97" i="1"/>
  <c r="K97" i="1"/>
  <c r="M97" i="1"/>
  <c r="A98" i="1"/>
  <c r="B98" i="1"/>
  <c r="C483" i="3" s="1"/>
  <c r="C98" i="1" a="1"/>
  <c r="C98" i="1" s="1"/>
  <c r="F485" i="3" s="1"/>
  <c r="E98" i="1" a="1"/>
  <c r="E98" i="1" s="1"/>
  <c r="I482" i="3" s="1"/>
  <c r="F98" i="1"/>
  <c r="G98" i="1"/>
  <c r="K98" i="1"/>
  <c r="M98" i="1"/>
  <c r="A99" i="1"/>
  <c r="B99" i="1"/>
  <c r="C491" i="3" s="1"/>
  <c r="C99" i="1" a="1"/>
  <c r="C99" i="1" s="1"/>
  <c r="F488" i="3" s="1"/>
  <c r="E99" i="1" a="1"/>
  <c r="E99" i="1" s="1"/>
  <c r="I487" i="3" s="1"/>
  <c r="F99" i="1"/>
  <c r="G99" i="1"/>
  <c r="K99" i="1"/>
  <c r="M99" i="1"/>
  <c r="A100" i="1"/>
  <c r="I495" i="3" s="1"/>
  <c r="B100" i="1"/>
  <c r="C494" i="3" s="1"/>
  <c r="C100" i="1" a="1"/>
  <c r="C100" i="1" s="1"/>
  <c r="F493" i="3" s="1"/>
  <c r="E100" i="1" a="1"/>
  <c r="E100" i="1" s="1"/>
  <c r="I492" i="3" s="1"/>
  <c r="F100" i="1"/>
  <c r="G100" i="1"/>
  <c r="K100" i="1"/>
  <c r="M100" i="1"/>
  <c r="A101" i="1"/>
  <c r="L497" i="3" s="1"/>
  <c r="B101" i="1"/>
  <c r="C499" i="3" s="1"/>
  <c r="C101" i="1" a="1"/>
  <c r="C101" i="1" s="1"/>
  <c r="F501" i="3" s="1"/>
  <c r="E101" i="1" a="1"/>
  <c r="E101" i="1" s="1"/>
  <c r="I497" i="3" s="1"/>
  <c r="F101" i="1"/>
  <c r="G101" i="1"/>
  <c r="K101" i="1"/>
  <c r="M101" i="1"/>
  <c r="D73" i="1" l="1"/>
  <c r="D48" i="1"/>
  <c r="D47" i="1"/>
  <c r="D16" i="1"/>
  <c r="D15" i="1"/>
  <c r="D97" i="1"/>
  <c r="D65" i="1"/>
  <c r="D41" i="1"/>
  <c r="D9" i="1"/>
  <c r="F113" i="3"/>
  <c r="D24" i="1"/>
  <c r="D71" i="1"/>
  <c r="D89" i="1"/>
  <c r="D64" i="1"/>
  <c r="D40" i="1"/>
  <c r="D8" i="1"/>
  <c r="D88" i="1"/>
  <c r="D63" i="1"/>
  <c r="D33" i="1"/>
  <c r="D7" i="1"/>
  <c r="F389" i="3"/>
  <c r="D79" i="1"/>
  <c r="D87" i="1"/>
  <c r="D57" i="1"/>
  <c r="D25" i="1"/>
  <c r="F267" i="3"/>
  <c r="D55" i="1"/>
  <c r="D81" i="1"/>
  <c r="D56" i="1"/>
  <c r="D23" i="1"/>
  <c r="D80" i="1"/>
  <c r="D49" i="1"/>
  <c r="D17" i="1"/>
  <c r="D94" i="1"/>
  <c r="D86" i="1"/>
  <c r="D78" i="1"/>
  <c r="D70" i="1"/>
  <c r="D62" i="1"/>
  <c r="D54" i="1"/>
  <c r="D46" i="1"/>
  <c r="D38" i="1"/>
  <c r="D30" i="1"/>
  <c r="D22" i="1"/>
  <c r="D14" i="1"/>
  <c r="D6" i="1"/>
  <c r="D95" i="1"/>
  <c r="D101" i="1"/>
  <c r="D93" i="1"/>
  <c r="D85" i="1"/>
  <c r="D77" i="1"/>
  <c r="D69" i="1"/>
  <c r="D61" i="1"/>
  <c r="D53" i="1"/>
  <c r="D45" i="1"/>
  <c r="D37" i="1"/>
  <c r="D29" i="1"/>
  <c r="D21" i="1"/>
  <c r="D13" i="1"/>
  <c r="D5" i="1"/>
  <c r="D96" i="1"/>
  <c r="D72" i="1"/>
  <c r="D100" i="1"/>
  <c r="D92" i="1"/>
  <c r="D84" i="1"/>
  <c r="D76" i="1"/>
  <c r="D68" i="1"/>
  <c r="D60" i="1"/>
  <c r="D52" i="1"/>
  <c r="D44" i="1"/>
  <c r="D36" i="1"/>
  <c r="D28" i="1"/>
  <c r="D20" i="1"/>
  <c r="D12" i="1"/>
  <c r="D4" i="1"/>
  <c r="D32" i="1"/>
  <c r="D31" i="1"/>
  <c r="D99" i="1"/>
  <c r="D91" i="1"/>
  <c r="D83" i="1"/>
  <c r="D75" i="1"/>
  <c r="D67" i="1"/>
  <c r="D59" i="1"/>
  <c r="D51" i="1"/>
  <c r="D43" i="1"/>
  <c r="D35" i="1"/>
  <c r="D27" i="1"/>
  <c r="D19" i="1"/>
  <c r="D11" i="1"/>
  <c r="D3" i="1"/>
  <c r="D39" i="1"/>
  <c r="D98" i="1"/>
  <c r="D90" i="1"/>
  <c r="D82" i="1"/>
  <c r="D74" i="1"/>
  <c r="D66" i="1"/>
  <c r="D58" i="1"/>
  <c r="D50" i="1"/>
  <c r="D42" i="1"/>
  <c r="D34" i="1"/>
  <c r="D26" i="1"/>
  <c r="D18" i="1"/>
  <c r="D10" i="1"/>
  <c r="D2" i="1"/>
  <c r="E93" i="1" a="1"/>
  <c r="E93" i="1" s="1"/>
  <c r="I457" i="3" s="1"/>
  <c r="E91" i="1" a="1"/>
  <c r="E91" i="1" s="1"/>
  <c r="I447" i="3" s="1"/>
  <c r="E87" i="1" a="1"/>
  <c r="E87" i="1" s="1"/>
  <c r="I427" i="3" s="1"/>
  <c r="E83" i="1" a="1"/>
  <c r="E83" i="1" s="1"/>
  <c r="E81" i="1" a="1"/>
  <c r="E81" i="1" s="1"/>
  <c r="I397" i="3" s="1"/>
  <c r="E76" i="1" a="1"/>
  <c r="E76" i="1" s="1"/>
  <c r="I372" i="3" s="1"/>
  <c r="E75" i="1" a="1"/>
  <c r="E75" i="1" s="1"/>
  <c r="I367" i="3" s="1"/>
  <c r="E72" i="1" a="1"/>
  <c r="E72" i="1" s="1"/>
  <c r="I352" i="3" s="1"/>
  <c r="E66" i="1" a="1"/>
  <c r="E66" i="1" s="1"/>
  <c r="I322" i="3" s="1"/>
  <c r="E56" i="1" a="1"/>
  <c r="E56" i="1" s="1"/>
  <c r="I272" i="3" s="1"/>
  <c r="E55" i="1" a="1"/>
  <c r="E55" i="1" s="1"/>
  <c r="E54" i="1" a="1"/>
  <c r="E54" i="1" s="1"/>
  <c r="I262" i="3" s="1"/>
  <c r="E29" i="1" a="1"/>
  <c r="E29" i="1" s="1"/>
  <c r="I137" i="3" s="1"/>
  <c r="L120" i="3"/>
  <c r="L80" i="3"/>
  <c r="I480" i="3"/>
  <c r="L466" i="3"/>
  <c r="L465" i="3"/>
  <c r="I466" i="3"/>
  <c r="I465" i="3"/>
  <c r="L462" i="3"/>
  <c r="I463" i="3"/>
  <c r="L464" i="3"/>
  <c r="I436" i="3"/>
  <c r="I435" i="3"/>
  <c r="L433" i="3"/>
  <c r="L432" i="3"/>
  <c r="L436" i="3"/>
  <c r="L435" i="3"/>
  <c r="L434" i="3"/>
  <c r="I413" i="3"/>
  <c r="L414" i="3"/>
  <c r="L416" i="3"/>
  <c r="L415" i="3"/>
  <c r="L413" i="3"/>
  <c r="I416" i="3"/>
  <c r="L408" i="3"/>
  <c r="L410" i="3"/>
  <c r="I408" i="3"/>
  <c r="L409" i="3"/>
  <c r="I410" i="3"/>
  <c r="L411" i="3"/>
  <c r="L407" i="3"/>
  <c r="L403" i="3"/>
  <c r="L402" i="3"/>
  <c r="I403" i="3"/>
  <c r="L404" i="3"/>
  <c r="I406" i="3"/>
  <c r="I405" i="3"/>
  <c r="L405" i="3"/>
  <c r="L397" i="3"/>
  <c r="I401" i="3"/>
  <c r="L398" i="3"/>
  <c r="L400" i="3"/>
  <c r="L399" i="3"/>
  <c r="I398" i="3"/>
  <c r="I396" i="3"/>
  <c r="I395" i="3"/>
  <c r="L393" i="3"/>
  <c r="L392" i="3"/>
  <c r="L396" i="3"/>
  <c r="L395" i="3"/>
  <c r="L394" i="3"/>
  <c r="I390" i="3"/>
  <c r="L391" i="3"/>
  <c r="L387" i="3"/>
  <c r="I391" i="3"/>
  <c r="I388" i="3"/>
  <c r="L389" i="3"/>
  <c r="L388" i="3"/>
  <c r="L386" i="3"/>
  <c r="L385" i="3"/>
  <c r="I386" i="3"/>
  <c r="I385" i="3"/>
  <c r="L382" i="3"/>
  <c r="I383" i="3"/>
  <c r="L384" i="3"/>
  <c r="L380" i="3"/>
  <c r="I378" i="3"/>
  <c r="L379" i="3"/>
  <c r="I380" i="3"/>
  <c r="L381" i="3"/>
  <c r="I381" i="3"/>
  <c r="L378" i="3"/>
  <c r="L376" i="3"/>
  <c r="L375" i="3"/>
  <c r="I376" i="3"/>
  <c r="I375" i="3"/>
  <c r="L372" i="3"/>
  <c r="I373" i="3"/>
  <c r="L374" i="3"/>
  <c r="L370" i="3"/>
  <c r="I368" i="3"/>
  <c r="L369" i="3"/>
  <c r="I370" i="3"/>
  <c r="L371" i="3"/>
  <c r="I371" i="3"/>
  <c r="L368" i="3"/>
  <c r="I363" i="3"/>
  <c r="L364" i="3"/>
  <c r="L366" i="3"/>
  <c r="L365" i="3"/>
  <c r="L363" i="3"/>
  <c r="I366" i="3"/>
  <c r="L358" i="3"/>
  <c r="L360" i="3"/>
  <c r="I358" i="3"/>
  <c r="L359" i="3"/>
  <c r="I360" i="3"/>
  <c r="L361" i="3"/>
  <c r="L357" i="3"/>
  <c r="L353" i="3"/>
  <c r="L352" i="3"/>
  <c r="I353" i="3"/>
  <c r="L354" i="3"/>
  <c r="I356" i="3"/>
  <c r="I355" i="3"/>
  <c r="L355" i="3"/>
  <c r="L347" i="3"/>
  <c r="I351" i="3"/>
  <c r="L348" i="3"/>
  <c r="L350" i="3"/>
  <c r="L349" i="3"/>
  <c r="I348" i="3"/>
  <c r="I346" i="3"/>
  <c r="I345" i="3"/>
  <c r="L343" i="3"/>
  <c r="L342" i="3"/>
  <c r="L346" i="3"/>
  <c r="L345" i="3"/>
  <c r="L344" i="3"/>
  <c r="I340" i="3"/>
  <c r="L341" i="3"/>
  <c r="L337" i="3"/>
  <c r="I341" i="3"/>
  <c r="I338" i="3"/>
  <c r="L339" i="3"/>
  <c r="L338" i="3"/>
  <c r="L336" i="3"/>
  <c r="L335" i="3"/>
  <c r="I336" i="3"/>
  <c r="I335" i="3"/>
  <c r="L332" i="3"/>
  <c r="I333" i="3"/>
  <c r="L334" i="3"/>
  <c r="L330" i="3"/>
  <c r="I328" i="3"/>
  <c r="L329" i="3"/>
  <c r="I330" i="3"/>
  <c r="L331" i="3"/>
  <c r="I331" i="3"/>
  <c r="L328" i="3"/>
  <c r="I323" i="3"/>
  <c r="L324" i="3"/>
  <c r="L326" i="3"/>
  <c r="L325" i="3"/>
  <c r="L323" i="3"/>
  <c r="I326" i="3"/>
  <c r="L318" i="3"/>
  <c r="L320" i="3"/>
  <c r="I318" i="3"/>
  <c r="L319" i="3"/>
  <c r="I320" i="3"/>
  <c r="L321" i="3"/>
  <c r="L317" i="3"/>
  <c r="L313" i="3"/>
  <c r="L312" i="3"/>
  <c r="I313" i="3"/>
  <c r="L314" i="3"/>
  <c r="I316" i="3"/>
  <c r="I315" i="3"/>
  <c r="L315" i="3"/>
  <c r="L307" i="3"/>
  <c r="I311" i="3"/>
  <c r="L308" i="3"/>
  <c r="L310" i="3"/>
  <c r="L309" i="3"/>
  <c r="I308" i="3"/>
  <c r="I306" i="3"/>
  <c r="I305" i="3"/>
  <c r="L303" i="3"/>
  <c r="L302" i="3"/>
  <c r="L306" i="3"/>
  <c r="L305" i="3"/>
  <c r="L304" i="3"/>
  <c r="I300" i="3"/>
  <c r="L301" i="3"/>
  <c r="L297" i="3"/>
  <c r="I301" i="3"/>
  <c r="I298" i="3"/>
  <c r="L299" i="3"/>
  <c r="L298" i="3"/>
  <c r="L296" i="3"/>
  <c r="L295" i="3"/>
  <c r="I296" i="3"/>
  <c r="I295" i="3"/>
  <c r="L292" i="3"/>
  <c r="I293" i="3"/>
  <c r="L294" i="3"/>
  <c r="L290" i="3"/>
  <c r="I288" i="3"/>
  <c r="L289" i="3"/>
  <c r="I290" i="3"/>
  <c r="L291" i="3"/>
  <c r="I291" i="3"/>
  <c r="L288" i="3"/>
  <c r="I283" i="3"/>
  <c r="L284" i="3"/>
  <c r="L286" i="3"/>
  <c r="L285" i="3"/>
  <c r="L283" i="3"/>
  <c r="I286" i="3"/>
  <c r="L278" i="3"/>
  <c r="L280" i="3"/>
  <c r="I278" i="3"/>
  <c r="L279" i="3"/>
  <c r="I280" i="3"/>
  <c r="L281" i="3"/>
  <c r="L277" i="3"/>
  <c r="L273" i="3"/>
  <c r="L272" i="3"/>
  <c r="I273" i="3"/>
  <c r="L274" i="3"/>
  <c r="I276" i="3"/>
  <c r="I275" i="3"/>
  <c r="L275" i="3"/>
  <c r="L267" i="3"/>
  <c r="I271" i="3"/>
  <c r="L268" i="3"/>
  <c r="L270" i="3"/>
  <c r="L269" i="3"/>
  <c r="I268" i="3"/>
  <c r="I266" i="3"/>
  <c r="I265" i="3"/>
  <c r="L263" i="3"/>
  <c r="L262" i="3"/>
  <c r="L266" i="3"/>
  <c r="L265" i="3"/>
  <c r="L264" i="3"/>
  <c r="I260" i="3"/>
  <c r="L261" i="3"/>
  <c r="L257" i="3"/>
  <c r="I261" i="3"/>
  <c r="I258" i="3"/>
  <c r="L259" i="3"/>
  <c r="L258" i="3"/>
  <c r="L256" i="3"/>
  <c r="L255" i="3"/>
  <c r="I256" i="3"/>
  <c r="I255" i="3"/>
  <c r="L252" i="3"/>
  <c r="I253" i="3"/>
  <c r="L254" i="3"/>
  <c r="I250" i="3"/>
  <c r="L251" i="3"/>
  <c r="I251" i="3"/>
  <c r="I248" i="3"/>
  <c r="L249" i="3"/>
  <c r="L248" i="3"/>
  <c r="L247" i="3"/>
  <c r="L246" i="3"/>
  <c r="L245" i="3"/>
  <c r="I245" i="3"/>
  <c r="I243" i="3"/>
  <c r="L244" i="3"/>
  <c r="L242" i="3"/>
  <c r="L240" i="3"/>
  <c r="I238" i="3"/>
  <c r="L239" i="3"/>
  <c r="L241" i="3"/>
  <c r="L237" i="3"/>
  <c r="I240" i="3"/>
  <c r="I233" i="3"/>
  <c r="L234" i="3"/>
  <c r="L235" i="3"/>
  <c r="L233" i="3"/>
  <c r="I236" i="3"/>
  <c r="L232" i="3"/>
  <c r="I235" i="3"/>
  <c r="L236" i="3"/>
  <c r="L228" i="3"/>
  <c r="I228" i="3"/>
  <c r="L229" i="3"/>
  <c r="I231" i="3"/>
  <c r="I230" i="3"/>
  <c r="L230" i="3"/>
  <c r="L223" i="3"/>
  <c r="L222" i="3"/>
  <c r="L224" i="3"/>
  <c r="I223" i="3"/>
  <c r="I225" i="3"/>
  <c r="L217" i="3"/>
  <c r="I221" i="3"/>
  <c r="L218" i="3"/>
  <c r="L220" i="3"/>
  <c r="L219" i="3"/>
  <c r="I218" i="3"/>
  <c r="I216" i="3"/>
  <c r="I215" i="3"/>
  <c r="L213" i="3"/>
  <c r="L212" i="3"/>
  <c r="L216" i="3"/>
  <c r="L215" i="3"/>
  <c r="L214" i="3"/>
  <c r="I210" i="3"/>
  <c r="L211" i="3"/>
  <c r="L207" i="3"/>
  <c r="I211" i="3"/>
  <c r="I208" i="3"/>
  <c r="L209" i="3"/>
  <c r="L208" i="3"/>
  <c r="L206" i="3"/>
  <c r="L205" i="3"/>
  <c r="I206" i="3"/>
  <c r="I205" i="3"/>
  <c r="L202" i="3"/>
  <c r="I203" i="3"/>
  <c r="L204" i="3"/>
  <c r="L200" i="3"/>
  <c r="I198" i="3"/>
  <c r="L199" i="3"/>
  <c r="I200" i="3"/>
  <c r="L201" i="3"/>
  <c r="I201" i="3"/>
  <c r="L198" i="3"/>
  <c r="I193" i="3"/>
  <c r="L194" i="3"/>
  <c r="L196" i="3"/>
  <c r="L195" i="3"/>
  <c r="L193" i="3"/>
  <c r="I196" i="3"/>
  <c r="L188" i="3"/>
  <c r="L190" i="3"/>
  <c r="I188" i="3"/>
  <c r="L189" i="3"/>
  <c r="I190" i="3"/>
  <c r="L191" i="3"/>
  <c r="L187" i="3"/>
  <c r="L183" i="3"/>
  <c r="L182" i="3"/>
  <c r="I183" i="3"/>
  <c r="L184" i="3"/>
  <c r="I186" i="3"/>
  <c r="I185" i="3"/>
  <c r="L185" i="3"/>
  <c r="L177" i="3"/>
  <c r="I181" i="3"/>
  <c r="L178" i="3"/>
  <c r="L180" i="3"/>
  <c r="L179" i="3"/>
  <c r="I178" i="3"/>
  <c r="I176" i="3"/>
  <c r="I175" i="3"/>
  <c r="L173" i="3"/>
  <c r="L172" i="3"/>
  <c r="L176" i="3"/>
  <c r="L175" i="3"/>
  <c r="L174" i="3"/>
  <c r="I170" i="3"/>
  <c r="L171" i="3"/>
  <c r="L167" i="3"/>
  <c r="I171" i="3"/>
  <c r="I168" i="3"/>
  <c r="L169" i="3"/>
  <c r="L168" i="3"/>
  <c r="L166" i="3"/>
  <c r="L165" i="3"/>
  <c r="I166" i="3"/>
  <c r="I165" i="3"/>
  <c r="L162" i="3"/>
  <c r="I163" i="3"/>
  <c r="L164" i="3"/>
  <c r="L160" i="3"/>
  <c r="I158" i="3"/>
  <c r="L159" i="3"/>
  <c r="I160" i="3"/>
  <c r="L161" i="3"/>
  <c r="I161" i="3"/>
  <c r="L158" i="3"/>
  <c r="I153" i="3"/>
  <c r="L154" i="3"/>
  <c r="L156" i="3"/>
  <c r="L155" i="3"/>
  <c r="L153" i="3"/>
  <c r="I156" i="3"/>
  <c r="L148" i="3"/>
  <c r="L150" i="3"/>
  <c r="I148" i="3"/>
  <c r="L149" i="3"/>
  <c r="I150" i="3"/>
  <c r="L151" i="3"/>
  <c r="L147" i="3"/>
  <c r="L143" i="3"/>
  <c r="L142" i="3"/>
  <c r="I143" i="3"/>
  <c r="L144" i="3"/>
  <c r="I146" i="3"/>
  <c r="I145" i="3"/>
  <c r="L145" i="3"/>
  <c r="L137" i="3"/>
  <c r="I141" i="3"/>
  <c r="L138" i="3"/>
  <c r="L140" i="3"/>
  <c r="L139" i="3"/>
  <c r="I138" i="3"/>
  <c r="I136" i="3"/>
  <c r="I135" i="3"/>
  <c r="L133" i="3"/>
  <c r="L132" i="3"/>
  <c r="L136" i="3"/>
  <c r="L135" i="3"/>
  <c r="L134" i="3"/>
  <c r="I130" i="3"/>
  <c r="L131" i="3"/>
  <c r="L127" i="3"/>
  <c r="I131" i="3"/>
  <c r="I128" i="3"/>
  <c r="L129" i="3"/>
  <c r="L128" i="3"/>
  <c r="I126" i="3"/>
  <c r="I125" i="3"/>
  <c r="L125" i="3"/>
  <c r="I120" i="3"/>
  <c r="L121" i="3"/>
  <c r="I118" i="3"/>
  <c r="L119" i="3"/>
  <c r="L118" i="3"/>
  <c r="L116" i="3"/>
  <c r="L115" i="3"/>
  <c r="L112" i="3"/>
  <c r="L110" i="3"/>
  <c r="I108" i="3"/>
  <c r="L109" i="3"/>
  <c r="L108" i="3"/>
  <c r="I111" i="3"/>
  <c r="I103" i="3"/>
  <c r="L104" i="3"/>
  <c r="L102" i="3"/>
  <c r="I105" i="3"/>
  <c r="L98" i="3"/>
  <c r="I101" i="3"/>
  <c r="L101" i="3"/>
  <c r="L93" i="3"/>
  <c r="L92" i="3"/>
  <c r="I95" i="3"/>
  <c r="L95" i="3"/>
  <c r="L87" i="3"/>
  <c r="I91" i="3"/>
  <c r="L91" i="3"/>
  <c r="I88" i="3"/>
  <c r="L89" i="3"/>
  <c r="I86" i="3"/>
  <c r="I85" i="3"/>
  <c r="L85" i="3"/>
  <c r="I80" i="3"/>
  <c r="L81" i="3"/>
  <c r="I78" i="3"/>
  <c r="L79" i="3"/>
  <c r="L78" i="3"/>
  <c r="L76" i="3"/>
  <c r="L75" i="3"/>
  <c r="L72" i="3"/>
  <c r="L70" i="3"/>
  <c r="I68" i="3"/>
  <c r="L69" i="3"/>
  <c r="L68" i="3"/>
  <c r="I71" i="3"/>
  <c r="I63" i="3"/>
  <c r="L64" i="3"/>
  <c r="L62" i="3"/>
  <c r="I65" i="3"/>
  <c r="L58" i="3"/>
  <c r="I61" i="3"/>
  <c r="L61" i="3"/>
  <c r="L53" i="3"/>
  <c r="L52" i="3"/>
  <c r="I55" i="3"/>
  <c r="L55" i="3"/>
  <c r="L47" i="3"/>
  <c r="I51" i="3"/>
  <c r="L51" i="3"/>
  <c r="I48" i="3"/>
  <c r="L49" i="3"/>
  <c r="I46" i="3"/>
  <c r="L42" i="3"/>
  <c r="I45" i="3"/>
  <c r="I43" i="3"/>
  <c r="L44" i="3"/>
  <c r="I40" i="3"/>
  <c r="L41" i="3"/>
  <c r="I41" i="3"/>
  <c r="I38" i="3"/>
  <c r="L39" i="3"/>
  <c r="L38" i="3"/>
  <c r="L37" i="3"/>
  <c r="L36" i="3"/>
  <c r="L35" i="3"/>
  <c r="I35" i="3"/>
  <c r="I33" i="3"/>
  <c r="L34" i="3"/>
  <c r="L32" i="3"/>
  <c r="L30" i="3"/>
  <c r="I28" i="3"/>
  <c r="L29" i="3"/>
  <c r="L31" i="3"/>
  <c r="L27" i="3"/>
  <c r="I30" i="3"/>
  <c r="I23" i="3"/>
  <c r="L24" i="3"/>
  <c r="L25" i="3"/>
  <c r="L23" i="3"/>
  <c r="I26" i="3"/>
  <c r="L22" i="3"/>
  <c r="I25" i="3"/>
  <c r="L26" i="3"/>
  <c r="L18" i="3"/>
  <c r="I18" i="3"/>
  <c r="L19" i="3"/>
  <c r="I21" i="3"/>
  <c r="I20" i="3"/>
  <c r="L20" i="3"/>
  <c r="L13" i="3"/>
  <c r="L12" i="3"/>
  <c r="L14" i="3"/>
  <c r="I13" i="3"/>
  <c r="I15" i="3"/>
  <c r="L7" i="3"/>
  <c r="I11" i="3"/>
  <c r="L8" i="3"/>
  <c r="L10" i="3"/>
  <c r="L9" i="3"/>
  <c r="I8" i="3"/>
  <c r="I6" i="3"/>
  <c r="I5" i="3"/>
  <c r="L2" i="3"/>
  <c r="L6" i="3"/>
  <c r="L5" i="3"/>
  <c r="I3" i="3"/>
  <c r="L4" i="3"/>
  <c r="L99" i="3"/>
  <c r="L88" i="3"/>
  <c r="L59" i="3"/>
  <c r="L48" i="3"/>
  <c r="L21" i="3"/>
  <c r="L226" i="3"/>
  <c r="L170" i="3"/>
  <c r="L141" i="3"/>
  <c r="L362" i="3"/>
  <c r="L356" i="3"/>
  <c r="L333" i="3"/>
  <c r="L260" i="3"/>
  <c r="I453" i="3"/>
  <c r="L454" i="3"/>
  <c r="L456" i="3"/>
  <c r="L455" i="3"/>
  <c r="L453" i="3"/>
  <c r="I456" i="3"/>
  <c r="L426" i="3"/>
  <c r="L425" i="3"/>
  <c r="I426" i="3"/>
  <c r="I425" i="3"/>
  <c r="L422" i="3"/>
  <c r="I423" i="3"/>
  <c r="L424" i="3"/>
  <c r="L483" i="3"/>
  <c r="L482" i="3"/>
  <c r="I483" i="3"/>
  <c r="L484" i="3"/>
  <c r="I486" i="3"/>
  <c r="I485" i="3"/>
  <c r="L485" i="3"/>
  <c r="I440" i="3"/>
  <c r="I459" i="3"/>
  <c r="I439" i="3"/>
  <c r="I424" i="3"/>
  <c r="I409" i="3"/>
  <c r="I389" i="3"/>
  <c r="I374" i="3"/>
  <c r="I364" i="3"/>
  <c r="I349" i="3"/>
  <c r="I334" i="3"/>
  <c r="I309" i="3"/>
  <c r="I289" i="3"/>
  <c r="I279" i="3"/>
  <c r="I264" i="3"/>
  <c r="I249" i="3"/>
  <c r="I244" i="3"/>
  <c r="I229" i="3"/>
  <c r="I219" i="3"/>
  <c r="I214" i="3"/>
  <c r="I199" i="3"/>
  <c r="I194" i="3"/>
  <c r="I189" i="3"/>
  <c r="I184" i="3"/>
  <c r="I179" i="3"/>
  <c r="I174" i="3"/>
  <c r="I169" i="3"/>
  <c r="I164" i="3"/>
  <c r="I159" i="3"/>
  <c r="I154" i="3"/>
  <c r="I149" i="3"/>
  <c r="I144" i="3"/>
  <c r="I139" i="3"/>
  <c r="I134" i="3"/>
  <c r="I129" i="3"/>
  <c r="I124" i="3"/>
  <c r="I119" i="3"/>
  <c r="I114" i="3"/>
  <c r="I109" i="3"/>
  <c r="I104" i="3"/>
  <c r="I99" i="3"/>
  <c r="I94" i="3"/>
  <c r="I89" i="3"/>
  <c r="I84" i="3"/>
  <c r="I79" i="3"/>
  <c r="I121" i="3"/>
  <c r="I110" i="3"/>
  <c r="L96" i="3"/>
  <c r="I81" i="3"/>
  <c r="I70" i="3"/>
  <c r="L56" i="3"/>
  <c r="I36" i="3"/>
  <c r="L15" i="3"/>
  <c r="I241" i="3"/>
  <c r="L227" i="3"/>
  <c r="I226" i="3"/>
  <c r="L203" i="3"/>
  <c r="L130" i="3"/>
  <c r="L351" i="3"/>
  <c r="L322" i="3"/>
  <c r="L316" i="3"/>
  <c r="L293" i="3"/>
  <c r="L412" i="3"/>
  <c r="L406" i="3"/>
  <c r="L383" i="3"/>
  <c r="I470" i="3"/>
  <c r="L471" i="3"/>
  <c r="L467" i="3"/>
  <c r="I471" i="3"/>
  <c r="I468" i="3"/>
  <c r="L469" i="3"/>
  <c r="L468" i="3"/>
  <c r="L443" i="3"/>
  <c r="L442" i="3"/>
  <c r="I443" i="3"/>
  <c r="L444" i="3"/>
  <c r="I446" i="3"/>
  <c r="I445" i="3"/>
  <c r="L445" i="3"/>
  <c r="L420" i="3"/>
  <c r="I418" i="3"/>
  <c r="L419" i="3"/>
  <c r="I420" i="3"/>
  <c r="L421" i="3"/>
  <c r="I421" i="3"/>
  <c r="L418" i="3"/>
  <c r="I493" i="3"/>
  <c r="L494" i="3"/>
  <c r="L496" i="3"/>
  <c r="L495" i="3"/>
  <c r="L493" i="3"/>
  <c r="I496" i="3"/>
  <c r="L377" i="3"/>
  <c r="I469" i="3"/>
  <c r="I454" i="3"/>
  <c r="I429" i="3"/>
  <c r="I414" i="3"/>
  <c r="I399" i="3"/>
  <c r="I384" i="3"/>
  <c r="I369" i="3"/>
  <c r="I354" i="3"/>
  <c r="I339" i="3"/>
  <c r="I329" i="3"/>
  <c r="I319" i="3"/>
  <c r="I304" i="3"/>
  <c r="I294" i="3"/>
  <c r="I269" i="3"/>
  <c r="I254" i="3"/>
  <c r="I239" i="3"/>
  <c r="I204" i="3"/>
  <c r="I499" i="3"/>
  <c r="I489" i="3"/>
  <c r="I479" i="3"/>
  <c r="L126" i="3"/>
  <c r="L122" i="3"/>
  <c r="L111" i="3"/>
  <c r="I100" i="3"/>
  <c r="L86" i="3"/>
  <c r="L82" i="3"/>
  <c r="L71" i="3"/>
  <c r="I60" i="3"/>
  <c r="L46" i="3"/>
  <c r="L16" i="3"/>
  <c r="I220" i="3"/>
  <c r="I191" i="3"/>
  <c r="L157" i="3"/>
  <c r="I133" i="3"/>
  <c r="I325" i="3"/>
  <c r="I310" i="3"/>
  <c r="I281" i="3"/>
  <c r="I415" i="3"/>
  <c r="I400" i="3"/>
  <c r="I476" i="3"/>
  <c r="I475" i="3"/>
  <c r="L473" i="3"/>
  <c r="L472" i="3"/>
  <c r="L476" i="3"/>
  <c r="L475" i="3"/>
  <c r="L474" i="3"/>
  <c r="L460" i="3"/>
  <c r="I458" i="3"/>
  <c r="L459" i="3"/>
  <c r="I460" i="3"/>
  <c r="L461" i="3"/>
  <c r="I461" i="3"/>
  <c r="L458" i="3"/>
  <c r="L437" i="3"/>
  <c r="I441" i="3"/>
  <c r="L438" i="3"/>
  <c r="L440" i="3"/>
  <c r="L439" i="3"/>
  <c r="I438" i="3"/>
  <c r="L500" i="3"/>
  <c r="I498" i="3"/>
  <c r="L499" i="3"/>
  <c r="I500" i="3"/>
  <c r="L501" i="3"/>
  <c r="I501" i="3"/>
  <c r="L498" i="3"/>
  <c r="L488" i="3"/>
  <c r="L490" i="3"/>
  <c r="I488" i="3"/>
  <c r="L489" i="3"/>
  <c r="I490" i="3"/>
  <c r="L491" i="3"/>
  <c r="L487" i="3"/>
  <c r="I411" i="3"/>
  <c r="I449" i="3"/>
  <c r="I434" i="3"/>
  <c r="I419" i="3"/>
  <c r="I404" i="3"/>
  <c r="I394" i="3"/>
  <c r="I379" i="3"/>
  <c r="I359" i="3"/>
  <c r="I344" i="3"/>
  <c r="I324" i="3"/>
  <c r="I314" i="3"/>
  <c r="I299" i="3"/>
  <c r="I284" i="3"/>
  <c r="I274" i="3"/>
  <c r="I259" i="3"/>
  <c r="I234" i="3"/>
  <c r="I224" i="3"/>
  <c r="I209" i="3"/>
  <c r="I494" i="3"/>
  <c r="I484" i="3"/>
  <c r="I474" i="3"/>
  <c r="L123" i="3"/>
  <c r="I115" i="3"/>
  <c r="L97" i="3"/>
  <c r="I96" i="3"/>
  <c r="L90" i="3"/>
  <c r="L83" i="3"/>
  <c r="I75" i="3"/>
  <c r="L57" i="3"/>
  <c r="I56" i="3"/>
  <c r="L50" i="3"/>
  <c r="L43" i="3"/>
  <c r="L40" i="3"/>
  <c r="L28" i="3"/>
  <c r="L221" i="3"/>
  <c r="L192" i="3"/>
  <c r="L186" i="3"/>
  <c r="L163" i="3"/>
  <c r="L340" i="3"/>
  <c r="L311" i="3"/>
  <c r="L282" i="3"/>
  <c r="L276" i="3"/>
  <c r="L253" i="3"/>
  <c r="L401" i="3"/>
  <c r="L448" i="3"/>
  <c r="L450" i="3"/>
  <c r="I448" i="3"/>
  <c r="L449" i="3"/>
  <c r="I450" i="3"/>
  <c r="L451" i="3"/>
  <c r="L447" i="3"/>
  <c r="I430" i="3"/>
  <c r="L431" i="3"/>
  <c r="L427" i="3"/>
  <c r="I431" i="3"/>
  <c r="I428" i="3"/>
  <c r="L429" i="3"/>
  <c r="L428" i="3"/>
  <c r="L477" i="3"/>
  <c r="I481" i="3"/>
  <c r="L478" i="3"/>
  <c r="L480" i="3"/>
  <c r="L479" i="3"/>
  <c r="I478" i="3"/>
  <c r="I365" i="3"/>
  <c r="I350" i="3"/>
  <c r="I321" i="3"/>
  <c r="L287" i="3"/>
  <c r="I263" i="3"/>
  <c r="I455" i="3"/>
  <c r="I464" i="3"/>
  <c r="I444" i="3"/>
  <c r="I467" i="3"/>
  <c r="I462" i="3"/>
  <c r="I452" i="3"/>
  <c r="I442" i="3"/>
  <c r="I437" i="3"/>
  <c r="I432" i="3"/>
  <c r="I422" i="3"/>
  <c r="I417" i="3"/>
  <c r="I412" i="3"/>
  <c r="I407" i="3"/>
  <c r="I402" i="3"/>
  <c r="I392" i="3"/>
  <c r="I387" i="3"/>
  <c r="I382" i="3"/>
  <c r="I377" i="3"/>
  <c r="I362" i="3"/>
  <c r="I357" i="3"/>
  <c r="I347" i="3"/>
  <c r="I342" i="3"/>
  <c r="I337" i="3"/>
  <c r="I332" i="3"/>
  <c r="I327" i="3"/>
  <c r="I317" i="3"/>
  <c r="I312" i="3"/>
  <c r="I307" i="3"/>
  <c r="I302" i="3"/>
  <c r="I297" i="3"/>
  <c r="I292" i="3"/>
  <c r="I287" i="3"/>
  <c r="I282" i="3"/>
  <c r="I277" i="3"/>
  <c r="I267" i="3"/>
  <c r="I257" i="3"/>
  <c r="I252" i="3"/>
  <c r="I247" i="3"/>
  <c r="I242" i="3"/>
  <c r="I237" i="3"/>
  <c r="I232" i="3"/>
  <c r="I227" i="3"/>
  <c r="I222" i="3"/>
  <c r="I217" i="3"/>
  <c r="I212" i="3"/>
  <c r="I207" i="3"/>
  <c r="I202" i="3"/>
  <c r="I197" i="3"/>
  <c r="I192" i="3"/>
  <c r="I187" i="3"/>
  <c r="I182" i="3"/>
  <c r="I177" i="3"/>
  <c r="I172" i="3"/>
  <c r="I167" i="3"/>
  <c r="I162" i="3"/>
  <c r="I157" i="3"/>
  <c r="I152" i="3"/>
  <c r="I93" i="3"/>
  <c r="I53" i="3"/>
  <c r="I31" i="3"/>
  <c r="L17" i="3"/>
  <c r="I16" i="3"/>
  <c r="L231" i="3"/>
  <c r="I195" i="3"/>
  <c r="I180" i="3"/>
  <c r="I151" i="3"/>
  <c r="L367" i="3"/>
  <c r="I343" i="3"/>
  <c r="I285" i="3"/>
  <c r="I270" i="3"/>
  <c r="I491" i="3"/>
  <c r="L457" i="3"/>
  <c r="I433" i="3"/>
  <c r="I74" i="3"/>
  <c r="I69" i="3"/>
  <c r="I64" i="3"/>
  <c r="I59" i="3"/>
  <c r="I54" i="3"/>
  <c r="I49" i="3"/>
  <c r="I44" i="3"/>
  <c r="I39" i="3"/>
  <c r="I34" i="3"/>
  <c r="I29" i="3"/>
  <c r="I24" i="3"/>
  <c r="I19" i="3"/>
  <c r="I14" i="3"/>
  <c r="I9" i="3"/>
  <c r="I4" i="3"/>
  <c r="I147" i="3"/>
  <c r="I142" i="3"/>
  <c r="I132" i="3"/>
  <c r="I127" i="3"/>
  <c r="I122" i="3"/>
  <c r="I117" i="3"/>
  <c r="I112" i="3"/>
  <c r="I107" i="3"/>
  <c r="I102" i="3"/>
  <c r="I97" i="3"/>
  <c r="I92" i="3"/>
  <c r="I87" i="3"/>
  <c r="I82" i="3"/>
  <c r="I77" i="3"/>
  <c r="I72" i="3"/>
  <c r="I67" i="3"/>
  <c r="I62" i="3"/>
  <c r="I57" i="3"/>
  <c r="I52" i="3"/>
  <c r="I47" i="3"/>
  <c r="I42" i="3"/>
  <c r="I37" i="3"/>
  <c r="I32" i="3"/>
  <c r="I27" i="3"/>
  <c r="I22" i="3"/>
  <c r="I17" i="3"/>
  <c r="I12" i="3"/>
  <c r="I7" i="3"/>
  <c r="I2" i="3"/>
  <c r="I472" i="3"/>
  <c r="I789" i="3"/>
  <c r="E790" i="3"/>
  <c r="D790" i="3"/>
  <c r="F798" i="3"/>
  <c r="G795" i="3"/>
  <c r="G790" i="3"/>
  <c r="G782" i="3"/>
  <c r="F774" i="3"/>
  <c r="H771" i="3"/>
  <c r="I765" i="3"/>
  <c r="C764" i="3"/>
  <c r="I760" i="3"/>
  <c r="H755" i="3"/>
  <c r="F790" i="3"/>
  <c r="G771" i="3"/>
  <c r="H760" i="3"/>
  <c r="G755" i="3"/>
  <c r="C783" i="3"/>
  <c r="C775" i="3"/>
  <c r="G766" i="3"/>
  <c r="F761" i="3"/>
  <c r="C756" i="3"/>
  <c r="H800" i="3"/>
  <c r="C791" i="3"/>
  <c r="H787" i="3"/>
  <c r="I784" i="3"/>
  <c r="C772" i="3"/>
  <c r="F766" i="3"/>
  <c r="H752" i="3"/>
  <c r="F801" i="3"/>
  <c r="H792" i="3"/>
  <c r="H784" i="3"/>
  <c r="C780" i="3"/>
  <c r="F777" i="3"/>
  <c r="F753" i="3"/>
  <c r="C788" i="3"/>
  <c r="I768" i="3"/>
  <c r="C767" i="3"/>
  <c r="G758" i="3"/>
  <c r="F793" i="3"/>
  <c r="H768" i="3"/>
  <c r="H763" i="3"/>
  <c r="F758" i="3"/>
  <c r="G798" i="3"/>
  <c r="H795" i="3"/>
  <c r="G774" i="3"/>
  <c r="F769" i="3"/>
  <c r="G763" i="3"/>
  <c r="C759" i="3"/>
  <c r="J754" i="3"/>
  <c r="C801" i="3"/>
  <c r="G800" i="3"/>
  <c r="H797" i="3"/>
  <c r="F795" i="3"/>
  <c r="C793" i="3"/>
  <c r="G792" i="3"/>
  <c r="H789" i="3"/>
  <c r="F787" i="3"/>
  <c r="C785" i="3"/>
  <c r="G784" i="3"/>
  <c r="H781" i="3"/>
  <c r="F779" i="3"/>
  <c r="I778" i="3"/>
  <c r="C777" i="3"/>
  <c r="G776" i="3"/>
  <c r="H773" i="3"/>
  <c r="F771" i="3"/>
  <c r="C769" i="3"/>
  <c r="G768" i="3"/>
  <c r="H765" i="3"/>
  <c r="F763" i="3"/>
  <c r="C761" i="3"/>
  <c r="G760" i="3"/>
  <c r="H757" i="3"/>
  <c r="F755" i="3"/>
  <c r="I754" i="3"/>
  <c r="C753" i="3"/>
  <c r="C796" i="3"/>
  <c r="G787" i="3"/>
  <c r="G779" i="3"/>
  <c r="F800" i="3"/>
  <c r="C798" i="3"/>
  <c r="G797" i="3"/>
  <c r="H794" i="3"/>
  <c r="F792" i="3"/>
  <c r="C790" i="3"/>
  <c r="G789" i="3"/>
  <c r="H786" i="3"/>
  <c r="F784" i="3"/>
  <c r="I783" i="3"/>
  <c r="C782" i="3"/>
  <c r="G781" i="3"/>
  <c r="H778" i="3"/>
  <c r="F776" i="3"/>
  <c r="C774" i="3"/>
  <c r="G773" i="3"/>
  <c r="H770" i="3"/>
  <c r="F768" i="3"/>
  <c r="C766" i="3"/>
  <c r="G765" i="3"/>
  <c r="H762" i="3"/>
  <c r="F760" i="3"/>
  <c r="I759" i="3"/>
  <c r="C758" i="3"/>
  <c r="G757" i="3"/>
  <c r="H754" i="3"/>
  <c r="F752" i="3"/>
  <c r="C799" i="3"/>
  <c r="F785" i="3"/>
  <c r="H779" i="3"/>
  <c r="F782" i="3"/>
  <c r="H776" i="3"/>
  <c r="H799" i="3"/>
  <c r="F797" i="3"/>
  <c r="I796" i="3"/>
  <c r="C795" i="3"/>
  <c r="G794" i="3"/>
  <c r="H791" i="3"/>
  <c r="F789" i="3"/>
  <c r="C787" i="3"/>
  <c r="G786" i="3"/>
  <c r="H783" i="3"/>
  <c r="F781" i="3"/>
  <c r="C779" i="3"/>
  <c r="G778" i="3"/>
  <c r="H775" i="3"/>
  <c r="F773" i="3"/>
  <c r="I772" i="3"/>
  <c r="C771" i="3"/>
  <c r="G770" i="3"/>
  <c r="H767" i="3"/>
  <c r="F765" i="3"/>
  <c r="C763" i="3"/>
  <c r="G762" i="3"/>
  <c r="H759" i="3"/>
  <c r="F757" i="3"/>
  <c r="I756" i="3"/>
  <c r="C755" i="3"/>
  <c r="G754" i="3"/>
  <c r="I792" i="3"/>
  <c r="I801" i="3"/>
  <c r="C800" i="3"/>
  <c r="G799" i="3"/>
  <c r="H796" i="3"/>
  <c r="F794" i="3"/>
  <c r="C792" i="3"/>
  <c r="G791" i="3"/>
  <c r="J790" i="3"/>
  <c r="H788" i="3"/>
  <c r="F786" i="3"/>
  <c r="C784" i="3"/>
  <c r="G783" i="3"/>
  <c r="H780" i="3"/>
  <c r="F778" i="3"/>
  <c r="I777" i="3"/>
  <c r="C776" i="3"/>
  <c r="G775" i="3"/>
  <c r="H772" i="3"/>
  <c r="F770" i="3"/>
  <c r="C768" i="3"/>
  <c r="G767" i="3"/>
  <c r="J766" i="3"/>
  <c r="H764" i="3"/>
  <c r="F762" i="3"/>
  <c r="C760" i="3"/>
  <c r="G759" i="3"/>
  <c r="H756" i="3"/>
  <c r="F754" i="3"/>
  <c r="C752" i="3"/>
  <c r="H801" i="3"/>
  <c r="F799" i="3"/>
  <c r="G796" i="3"/>
  <c r="H793" i="3"/>
  <c r="F791" i="3"/>
  <c r="I790" i="3"/>
  <c r="C789" i="3"/>
  <c r="G788" i="3"/>
  <c r="F783" i="3"/>
  <c r="C781" i="3"/>
  <c r="H777" i="3"/>
  <c r="F775" i="3"/>
  <c r="G772" i="3"/>
  <c r="H769" i="3"/>
  <c r="F767" i="3"/>
  <c r="I766" i="3"/>
  <c r="C765" i="3"/>
  <c r="G764" i="3"/>
  <c r="F759" i="3"/>
  <c r="C757" i="3"/>
  <c r="H753" i="3"/>
  <c r="F796" i="3"/>
  <c r="I795" i="3"/>
  <c r="F788" i="3"/>
  <c r="F780" i="3"/>
  <c r="F772" i="3"/>
  <c r="I771" i="3"/>
  <c r="F764" i="3"/>
  <c r="J760" i="3"/>
  <c r="F756" i="3"/>
  <c r="F727" i="3"/>
  <c r="F724" i="3"/>
  <c r="H721" i="3"/>
  <c r="H718" i="3"/>
  <c r="C693" i="3"/>
  <c r="C690" i="3"/>
  <c r="F679" i="3"/>
  <c r="F677" i="3"/>
  <c r="F678" i="3"/>
  <c r="F681" i="3"/>
  <c r="F676" i="3"/>
  <c r="H673" i="3"/>
  <c r="H671" i="3"/>
  <c r="H672" i="3"/>
  <c r="H675" i="3"/>
  <c r="H670" i="3"/>
  <c r="C645" i="3"/>
  <c r="C640" i="3"/>
  <c r="C643" i="3"/>
  <c r="C644" i="3"/>
  <c r="C642" i="3"/>
  <c r="F631" i="3"/>
  <c r="I633" i="3"/>
  <c r="F629" i="3"/>
  <c r="F630" i="3"/>
  <c r="F633" i="3"/>
  <c r="F628" i="3"/>
  <c r="H626" i="3"/>
  <c r="H627" i="3"/>
  <c r="C751" i="3"/>
  <c r="H747" i="3"/>
  <c r="F745" i="3"/>
  <c r="I744" i="3"/>
  <c r="C743" i="3"/>
  <c r="H739" i="3"/>
  <c r="F737" i="3"/>
  <c r="I736" i="3"/>
  <c r="C735" i="3"/>
  <c r="H730" i="3"/>
  <c r="I729" i="3"/>
  <c r="C726" i="3"/>
  <c r="I724" i="3"/>
  <c r="C721" i="3"/>
  <c r="F715" i="3"/>
  <c r="I714" i="3"/>
  <c r="C711" i="3"/>
  <c r="F710" i="3"/>
  <c r="H709" i="3"/>
  <c r="C705" i="3"/>
  <c r="F704" i="3"/>
  <c r="C700" i="3"/>
  <c r="F699" i="3"/>
  <c r="F694" i="3"/>
  <c r="H693" i="3"/>
  <c r="C646" i="3"/>
  <c r="F640" i="3"/>
  <c r="F635" i="3"/>
  <c r="I678" i="3"/>
  <c r="I676" i="3"/>
  <c r="F671" i="3"/>
  <c r="F674" i="3"/>
  <c r="F670" i="3"/>
  <c r="F673" i="3"/>
  <c r="I675" i="3"/>
  <c r="H665" i="3"/>
  <c r="H668" i="3"/>
  <c r="H664" i="3"/>
  <c r="H667" i="3"/>
  <c r="C637" i="3"/>
  <c r="C635" i="3"/>
  <c r="C636" i="3"/>
  <c r="C639" i="3"/>
  <c r="C634" i="3"/>
  <c r="I630" i="3"/>
  <c r="I628" i="3"/>
  <c r="F624" i="3"/>
  <c r="F627" i="3"/>
  <c r="I627" i="3"/>
  <c r="F750" i="3"/>
  <c r="C748" i="3"/>
  <c r="H744" i="3"/>
  <c r="F742" i="3"/>
  <c r="I741" i="3"/>
  <c r="C740" i="3"/>
  <c r="H736" i="3"/>
  <c r="F734" i="3"/>
  <c r="C731" i="3"/>
  <c r="F729" i="3"/>
  <c r="H728" i="3"/>
  <c r="F725" i="3"/>
  <c r="H724" i="3"/>
  <c r="H723" i="3"/>
  <c r="H719" i="3"/>
  <c r="H714" i="3"/>
  <c r="I708" i="3"/>
  <c r="H698" i="3"/>
  <c r="C695" i="3"/>
  <c r="F719" i="3"/>
  <c r="I723" i="3"/>
  <c r="C685" i="3"/>
  <c r="C684" i="3"/>
  <c r="C687" i="3"/>
  <c r="C682" i="3"/>
  <c r="C677" i="3"/>
  <c r="C676" i="3"/>
  <c r="C679" i="3"/>
  <c r="I670" i="3"/>
  <c r="I672" i="3"/>
  <c r="F666" i="3"/>
  <c r="F669" i="3"/>
  <c r="I669" i="3"/>
  <c r="F665" i="3"/>
  <c r="F668" i="3"/>
  <c r="H660" i="3"/>
  <c r="H663" i="3"/>
  <c r="H659" i="3"/>
  <c r="H662" i="3"/>
  <c r="C629" i="3"/>
  <c r="C632" i="3"/>
  <c r="C630" i="3"/>
  <c r="C633" i="3"/>
  <c r="C628" i="3"/>
  <c r="C631" i="3"/>
  <c r="H749" i="3"/>
  <c r="F747" i="3"/>
  <c r="C745" i="3"/>
  <c r="H741" i="3"/>
  <c r="F739" i="3"/>
  <c r="C737" i="3"/>
  <c r="H733" i="3"/>
  <c r="F730" i="3"/>
  <c r="C720" i="3"/>
  <c r="I717" i="3"/>
  <c r="F713" i="3"/>
  <c r="H712" i="3"/>
  <c r="C710" i="3"/>
  <c r="H708" i="3"/>
  <c r="H707" i="3"/>
  <c r="C704" i="3"/>
  <c r="C699" i="3"/>
  <c r="I696" i="3"/>
  <c r="C694" i="3"/>
  <c r="F693" i="3"/>
  <c r="H692" i="3"/>
  <c r="I642" i="3"/>
  <c r="C641" i="3"/>
  <c r="F711" i="3"/>
  <c r="F708" i="3"/>
  <c r="H705" i="3"/>
  <c r="H702" i="3"/>
  <c r="C672" i="3"/>
  <c r="C675" i="3"/>
  <c r="C671" i="3"/>
  <c r="C674" i="3"/>
  <c r="F663" i="3"/>
  <c r="F658" i="3"/>
  <c r="F661" i="3"/>
  <c r="F662" i="3"/>
  <c r="F660" i="3"/>
  <c r="H657" i="3"/>
  <c r="H652" i="3"/>
  <c r="H655" i="3"/>
  <c r="H656" i="3"/>
  <c r="H654" i="3"/>
  <c r="C622" i="3"/>
  <c r="C627" i="3"/>
  <c r="C750" i="3"/>
  <c r="H746" i="3"/>
  <c r="F744" i="3"/>
  <c r="C742" i="3"/>
  <c r="H738" i="3"/>
  <c r="F736" i="3"/>
  <c r="I735" i="3"/>
  <c r="C734" i="3"/>
  <c r="C729" i="3"/>
  <c r="F728" i="3"/>
  <c r="C724" i="3"/>
  <c r="F723" i="3"/>
  <c r="F718" i="3"/>
  <c r="H717" i="3"/>
  <c r="F714" i="3"/>
  <c r="F698" i="3"/>
  <c r="I690" i="3"/>
  <c r="I687" i="3"/>
  <c r="I682" i="3"/>
  <c r="I666" i="3"/>
  <c r="F632" i="3"/>
  <c r="C717" i="3"/>
  <c r="C714" i="3"/>
  <c r="F703" i="3"/>
  <c r="F700" i="3"/>
  <c r="H697" i="3"/>
  <c r="H694" i="3"/>
  <c r="C669" i="3"/>
  <c r="C664" i="3"/>
  <c r="C667" i="3"/>
  <c r="C668" i="3"/>
  <c r="C666" i="3"/>
  <c r="F655" i="3"/>
  <c r="I657" i="3"/>
  <c r="F653" i="3"/>
  <c r="F654" i="3"/>
  <c r="F657" i="3"/>
  <c r="F652" i="3"/>
  <c r="H649" i="3"/>
  <c r="H647" i="3"/>
  <c r="H648" i="3"/>
  <c r="H651" i="3"/>
  <c r="H646" i="3"/>
  <c r="H751" i="3"/>
  <c r="F749" i="3"/>
  <c r="I748" i="3"/>
  <c r="C747" i="3"/>
  <c r="H743" i="3"/>
  <c r="F741" i="3"/>
  <c r="C739" i="3"/>
  <c r="H735" i="3"/>
  <c r="F733" i="3"/>
  <c r="I732" i="3"/>
  <c r="H722" i="3"/>
  <c r="C719" i="3"/>
  <c r="C713" i="3"/>
  <c r="F712" i="3"/>
  <c r="I711" i="3"/>
  <c r="F707" i="3"/>
  <c r="C703" i="3"/>
  <c r="H701" i="3"/>
  <c r="C692" i="3"/>
  <c r="F691" i="3"/>
  <c r="H687" i="3"/>
  <c r="H685" i="3"/>
  <c r="F683" i="3"/>
  <c r="I681" i="3"/>
  <c r="C678" i="3"/>
  <c r="F672" i="3"/>
  <c r="H666" i="3"/>
  <c r="H661" i="3"/>
  <c r="H650" i="3"/>
  <c r="C709" i="3"/>
  <c r="C706" i="3"/>
  <c r="F695" i="3"/>
  <c r="I699" i="3"/>
  <c r="H689" i="3"/>
  <c r="H688" i="3"/>
  <c r="H691" i="3"/>
  <c r="C661" i="3"/>
  <c r="C659" i="3"/>
  <c r="C660" i="3"/>
  <c r="C663" i="3"/>
  <c r="C658" i="3"/>
  <c r="I654" i="3"/>
  <c r="I652" i="3"/>
  <c r="F647" i="3"/>
  <c r="F650" i="3"/>
  <c r="F646" i="3"/>
  <c r="F649" i="3"/>
  <c r="I651" i="3"/>
  <c r="H641" i="3"/>
  <c r="H644" i="3"/>
  <c r="H640" i="3"/>
  <c r="H643" i="3"/>
  <c r="H748" i="3"/>
  <c r="F746" i="3"/>
  <c r="C744" i="3"/>
  <c r="H740" i="3"/>
  <c r="F738" i="3"/>
  <c r="C736" i="3"/>
  <c r="H732" i="3"/>
  <c r="H731" i="3"/>
  <c r="C728" i="3"/>
  <c r="C723" i="3"/>
  <c r="I720" i="3"/>
  <c r="C718" i="3"/>
  <c r="F717" i="3"/>
  <c r="H716" i="3"/>
  <c r="H711" i="3"/>
  <c r="H706" i="3"/>
  <c r="I705" i="3"/>
  <c r="C702" i="3"/>
  <c r="I700" i="3"/>
  <c r="C697" i="3"/>
  <c r="F696" i="3"/>
  <c r="F680" i="3"/>
  <c r="H674" i="3"/>
  <c r="F667" i="3"/>
  <c r="F651" i="3"/>
  <c r="H645" i="3"/>
  <c r="C638" i="3"/>
  <c r="F689" i="3"/>
  <c r="F692" i="3"/>
  <c r="H683" i="3"/>
  <c r="H686" i="3"/>
  <c r="C653" i="3"/>
  <c r="C656" i="3"/>
  <c r="C652" i="3"/>
  <c r="C655" i="3"/>
  <c r="I646" i="3"/>
  <c r="I648" i="3"/>
  <c r="F642" i="3"/>
  <c r="F645" i="3"/>
  <c r="I645" i="3"/>
  <c r="F641" i="3"/>
  <c r="F644" i="3"/>
  <c r="H636" i="3"/>
  <c r="H639" i="3"/>
  <c r="H635" i="3"/>
  <c r="H638" i="3"/>
  <c r="F751" i="3"/>
  <c r="H745" i="3"/>
  <c r="F743" i="3"/>
  <c r="C741" i="3"/>
  <c r="F735" i="3"/>
  <c r="C733" i="3"/>
  <c r="F726" i="3"/>
  <c r="F722" i="3"/>
  <c r="F721" i="3"/>
  <c r="H720" i="3"/>
  <c r="H715" i="3"/>
  <c r="C712" i="3"/>
  <c r="C707" i="3"/>
  <c r="F705" i="3"/>
  <c r="H704" i="3"/>
  <c r="F701" i="3"/>
  <c r="H700" i="3"/>
  <c r="H699" i="3"/>
  <c r="H695" i="3"/>
  <c r="J694" i="3"/>
  <c r="C691" i="3"/>
  <c r="F690" i="3"/>
  <c r="C689" i="3"/>
  <c r="C688" i="3"/>
  <c r="C686" i="3"/>
  <c r="F685" i="3"/>
  <c r="H684" i="3"/>
  <c r="C683" i="3"/>
  <c r="C681" i="3"/>
  <c r="F675" i="3"/>
  <c r="C673" i="3"/>
  <c r="H669" i="3"/>
  <c r="I663" i="3"/>
  <c r="C662" i="3"/>
  <c r="F656" i="3"/>
  <c r="I634" i="3"/>
  <c r="H729" i="3"/>
  <c r="H726" i="3"/>
  <c r="F687" i="3"/>
  <c r="F686" i="3"/>
  <c r="F684" i="3"/>
  <c r="H681" i="3"/>
  <c r="H676" i="3"/>
  <c r="H679" i="3"/>
  <c r="H680" i="3"/>
  <c r="H678" i="3"/>
  <c r="C648" i="3"/>
  <c r="C651" i="3"/>
  <c r="C647" i="3"/>
  <c r="C650" i="3"/>
  <c r="F639" i="3"/>
  <c r="F634" i="3"/>
  <c r="F637" i="3"/>
  <c r="F638" i="3"/>
  <c r="F636" i="3"/>
  <c r="H633" i="3"/>
  <c r="H628" i="3"/>
  <c r="H631" i="3"/>
  <c r="H629" i="3"/>
  <c r="H632" i="3"/>
  <c r="H630" i="3"/>
  <c r="F748" i="3"/>
  <c r="C732" i="3"/>
  <c r="F731" i="3"/>
  <c r="C727" i="3"/>
  <c r="H725" i="3"/>
  <c r="C716" i="3"/>
  <c r="F706" i="3"/>
  <c r="C696" i="3"/>
  <c r="I693" i="3"/>
  <c r="C680" i="3"/>
  <c r="I658" i="3"/>
  <c r="C657" i="3"/>
  <c r="H634" i="3"/>
  <c r="F578" i="3"/>
  <c r="F577" i="3"/>
  <c r="H572" i="3"/>
  <c r="H571" i="3"/>
  <c r="C539" i="3"/>
  <c r="C543" i="3"/>
  <c r="C538" i="3"/>
  <c r="F530" i="3"/>
  <c r="F528" i="3"/>
  <c r="F531" i="3"/>
  <c r="F526" i="3"/>
  <c r="F529" i="3"/>
  <c r="I531" i="3"/>
  <c r="H524" i="3"/>
  <c r="H522" i="3"/>
  <c r="H525" i="3"/>
  <c r="H520" i="3"/>
  <c r="H523" i="3"/>
  <c r="Q4" i="2"/>
  <c r="K518" i="3" s="1"/>
  <c r="J514" i="3"/>
  <c r="F463" i="3"/>
  <c r="C445" i="3"/>
  <c r="H623" i="3"/>
  <c r="F621" i="3"/>
  <c r="C619" i="3"/>
  <c r="H615" i="3"/>
  <c r="F613" i="3"/>
  <c r="I612" i="3"/>
  <c r="C611" i="3"/>
  <c r="F607" i="3"/>
  <c r="I606" i="3"/>
  <c r="C603" i="3"/>
  <c r="H601" i="3"/>
  <c r="F591" i="3"/>
  <c r="H590" i="3"/>
  <c r="H586" i="3"/>
  <c r="J580" i="3"/>
  <c r="F576" i="3"/>
  <c r="H575" i="3"/>
  <c r="F574" i="3"/>
  <c r="H573" i="3"/>
  <c r="F551" i="3"/>
  <c r="C549" i="3"/>
  <c r="I543" i="3"/>
  <c r="F542" i="3"/>
  <c r="C540" i="3"/>
  <c r="F527" i="3"/>
  <c r="C584" i="3"/>
  <c r="C583" i="3"/>
  <c r="F570" i="3"/>
  <c r="F569" i="3"/>
  <c r="F572" i="3"/>
  <c r="H564" i="3"/>
  <c r="H563" i="3"/>
  <c r="H566" i="3"/>
  <c r="C536" i="3"/>
  <c r="C534" i="3"/>
  <c r="C537" i="3"/>
  <c r="C532" i="3"/>
  <c r="C535" i="3"/>
  <c r="F522" i="3"/>
  <c r="F525" i="3"/>
  <c r="F520" i="3"/>
  <c r="F523" i="3"/>
  <c r="I525" i="3"/>
  <c r="F521" i="3"/>
  <c r="F524" i="3"/>
  <c r="H516" i="3"/>
  <c r="H519" i="3"/>
  <c r="H514" i="3"/>
  <c r="H517" i="3"/>
  <c r="H515" i="3"/>
  <c r="H518" i="3"/>
  <c r="F471" i="3"/>
  <c r="C461" i="3"/>
  <c r="C453" i="3"/>
  <c r="C405" i="3"/>
  <c r="F626" i="3"/>
  <c r="C624" i="3"/>
  <c r="H620" i="3"/>
  <c r="F618" i="3"/>
  <c r="C616" i="3"/>
  <c r="H612" i="3"/>
  <c r="F610" i="3"/>
  <c r="I609" i="3"/>
  <c r="H606" i="3"/>
  <c r="C602" i="3"/>
  <c r="H600" i="3"/>
  <c r="C597" i="3"/>
  <c r="F596" i="3"/>
  <c r="I594" i="3"/>
  <c r="F590" i="3"/>
  <c r="C587" i="3"/>
  <c r="H585" i="3"/>
  <c r="C582" i="3"/>
  <c r="F581" i="3"/>
  <c r="I580" i="3"/>
  <c r="I579" i="3"/>
  <c r="F575" i="3"/>
  <c r="C566" i="3"/>
  <c r="I564" i="3"/>
  <c r="H552" i="3"/>
  <c r="H544" i="3"/>
  <c r="C576" i="3"/>
  <c r="C575" i="3"/>
  <c r="F562" i="3"/>
  <c r="F564" i="3"/>
  <c r="H556" i="3"/>
  <c r="H559" i="3"/>
  <c r="H557" i="3"/>
  <c r="H558" i="3"/>
  <c r="C528" i="3"/>
  <c r="C531" i="3"/>
  <c r="C526" i="3"/>
  <c r="C529" i="3"/>
  <c r="C527" i="3"/>
  <c r="C530" i="3"/>
  <c r="I522" i="3"/>
  <c r="I520" i="3"/>
  <c r="F514" i="3"/>
  <c r="F517" i="3"/>
  <c r="I519" i="3"/>
  <c r="F515" i="3"/>
  <c r="F518" i="3"/>
  <c r="F516" i="3"/>
  <c r="H508" i="3"/>
  <c r="H511" i="3"/>
  <c r="H509" i="3"/>
  <c r="H512" i="3"/>
  <c r="H510" i="3"/>
  <c r="F479" i="3"/>
  <c r="C469" i="3"/>
  <c r="C381" i="3"/>
  <c r="H625" i="3"/>
  <c r="F623" i="3"/>
  <c r="I622" i="3"/>
  <c r="C621" i="3"/>
  <c r="H617" i="3"/>
  <c r="F615" i="3"/>
  <c r="C613" i="3"/>
  <c r="H609" i="3"/>
  <c r="C607" i="3"/>
  <c r="F606" i="3"/>
  <c r="H605" i="3"/>
  <c r="I598" i="3"/>
  <c r="F595" i="3"/>
  <c r="C574" i="3"/>
  <c r="F573" i="3"/>
  <c r="H554" i="3"/>
  <c r="C542" i="3"/>
  <c r="C541" i="3"/>
  <c r="H513" i="3"/>
  <c r="C568" i="3"/>
  <c r="C570" i="3"/>
  <c r="I561" i="3"/>
  <c r="F557" i="3"/>
  <c r="F561" i="3"/>
  <c r="F556" i="3"/>
  <c r="H551" i="3"/>
  <c r="H555" i="3"/>
  <c r="H550" i="3"/>
  <c r="C520" i="3"/>
  <c r="C523" i="3"/>
  <c r="C521" i="3"/>
  <c r="C524" i="3"/>
  <c r="C522" i="3"/>
  <c r="I516" i="3"/>
  <c r="I514" i="3"/>
  <c r="I513" i="3"/>
  <c r="F509" i="3"/>
  <c r="F512" i="3"/>
  <c r="F510" i="3"/>
  <c r="F513" i="3"/>
  <c r="F508" i="3"/>
  <c r="H503" i="3"/>
  <c r="H506" i="3"/>
  <c r="H504" i="3"/>
  <c r="H507" i="3"/>
  <c r="H502" i="3"/>
  <c r="F487" i="3"/>
  <c r="C477" i="3"/>
  <c r="F423" i="3"/>
  <c r="C413" i="3"/>
  <c r="C626" i="3"/>
  <c r="H622" i="3"/>
  <c r="F620" i="3"/>
  <c r="C618" i="3"/>
  <c r="H614" i="3"/>
  <c r="F612" i="3"/>
  <c r="C610" i="3"/>
  <c r="H599" i="3"/>
  <c r="H598" i="3"/>
  <c r="C596" i="3"/>
  <c r="C590" i="3"/>
  <c r="C586" i="3"/>
  <c r="H584" i="3"/>
  <c r="C581" i="3"/>
  <c r="F580" i="3"/>
  <c r="F579" i="3"/>
  <c r="H578" i="3"/>
  <c r="I570" i="3"/>
  <c r="C565" i="3"/>
  <c r="F563" i="3"/>
  <c r="H505" i="3"/>
  <c r="F602" i="3"/>
  <c r="F601" i="3"/>
  <c r="H596" i="3"/>
  <c r="H595" i="3"/>
  <c r="C567" i="3"/>
  <c r="C562" i="3"/>
  <c r="F554" i="3"/>
  <c r="F555" i="3"/>
  <c r="F553" i="3"/>
  <c r="I555" i="3"/>
  <c r="H548" i="3"/>
  <c r="H549" i="3"/>
  <c r="H547" i="3"/>
  <c r="C515" i="3"/>
  <c r="C518" i="3"/>
  <c r="C516" i="3"/>
  <c r="C519" i="3"/>
  <c r="C514" i="3"/>
  <c r="F506" i="3"/>
  <c r="F504" i="3"/>
  <c r="F507" i="3"/>
  <c r="F502" i="3"/>
  <c r="F505" i="3"/>
  <c r="I507" i="3"/>
  <c r="F495" i="3"/>
  <c r="F431" i="3"/>
  <c r="C421" i="3"/>
  <c r="C389" i="3"/>
  <c r="F625" i="3"/>
  <c r="C623" i="3"/>
  <c r="H619" i="3"/>
  <c r="F617" i="3"/>
  <c r="I616" i="3"/>
  <c r="C615" i="3"/>
  <c r="H611" i="3"/>
  <c r="F609" i="3"/>
  <c r="C606" i="3"/>
  <c r="F605" i="3"/>
  <c r="I603" i="3"/>
  <c r="F599" i="3"/>
  <c r="F598" i="3"/>
  <c r="C595" i="3"/>
  <c r="H593" i="3"/>
  <c r="F589" i="3"/>
  <c r="I588" i="3"/>
  <c r="C585" i="3"/>
  <c r="C580" i="3"/>
  <c r="C573" i="3"/>
  <c r="F571" i="3"/>
  <c r="H570" i="3"/>
  <c r="H568" i="3"/>
  <c r="H562" i="3"/>
  <c r="H561" i="3"/>
  <c r="H546" i="3"/>
  <c r="C525" i="3"/>
  <c r="H521" i="3"/>
  <c r="C517" i="3"/>
  <c r="F594" i="3"/>
  <c r="F593" i="3"/>
  <c r="H588" i="3"/>
  <c r="H587" i="3"/>
  <c r="C560" i="3"/>
  <c r="C559" i="3"/>
  <c r="F546" i="3"/>
  <c r="F549" i="3"/>
  <c r="F547" i="3"/>
  <c r="F545" i="3"/>
  <c r="F548" i="3"/>
  <c r="H540" i="3"/>
  <c r="H543" i="3"/>
  <c r="H538" i="3"/>
  <c r="H541" i="3"/>
  <c r="H539" i="3"/>
  <c r="H542" i="3"/>
  <c r="C512" i="3"/>
  <c r="C510" i="3"/>
  <c r="C513" i="3"/>
  <c r="C508" i="3"/>
  <c r="C511" i="3"/>
  <c r="C485" i="3"/>
  <c r="F439" i="3"/>
  <c r="C429" i="3"/>
  <c r="H624" i="3"/>
  <c r="F622" i="3"/>
  <c r="I621" i="3"/>
  <c r="C620" i="3"/>
  <c r="H616" i="3"/>
  <c r="F614" i="3"/>
  <c r="C612" i="3"/>
  <c r="H608" i="3"/>
  <c r="H597" i="3"/>
  <c r="C594" i="3"/>
  <c r="H592" i="3"/>
  <c r="F584" i="3"/>
  <c r="H583" i="3"/>
  <c r="C579" i="3"/>
  <c r="H577" i="3"/>
  <c r="C572" i="3"/>
  <c r="H569" i="3"/>
  <c r="I567" i="3"/>
  <c r="C563" i="3"/>
  <c r="H560" i="3"/>
  <c r="I558" i="3"/>
  <c r="I549" i="3"/>
  <c r="C509" i="3"/>
  <c r="I502" i="3"/>
  <c r="C600" i="3"/>
  <c r="C599" i="3"/>
  <c r="C552" i="3"/>
  <c r="C555" i="3"/>
  <c r="C553" i="3"/>
  <c r="C551" i="3"/>
  <c r="C554" i="3"/>
  <c r="I546" i="3"/>
  <c r="I544" i="3"/>
  <c r="F538" i="3"/>
  <c r="F541" i="3"/>
  <c r="F539" i="3"/>
  <c r="F540" i="3"/>
  <c r="H532" i="3"/>
  <c r="H535" i="3"/>
  <c r="H533" i="3"/>
  <c r="H536" i="3"/>
  <c r="H534" i="3"/>
  <c r="C504" i="3"/>
  <c r="C507" i="3"/>
  <c r="C502" i="3"/>
  <c r="C505" i="3"/>
  <c r="C503" i="3"/>
  <c r="C506" i="3"/>
  <c r="C501" i="3"/>
  <c r="C493" i="3"/>
  <c r="F447" i="3"/>
  <c r="C437" i="3"/>
  <c r="C397" i="3"/>
  <c r="C625" i="3"/>
  <c r="H621" i="3"/>
  <c r="F619" i="3"/>
  <c r="H613" i="3"/>
  <c r="F611" i="3"/>
  <c r="C609" i="3"/>
  <c r="C605" i="3"/>
  <c r="F604" i="3"/>
  <c r="F603" i="3"/>
  <c r="H602" i="3"/>
  <c r="C598" i="3"/>
  <c r="I591" i="3"/>
  <c r="C589" i="3"/>
  <c r="F588" i="3"/>
  <c r="H582" i="3"/>
  <c r="C578" i="3"/>
  <c r="C571" i="3"/>
  <c r="F568" i="3"/>
  <c r="H567" i="3"/>
  <c r="C561" i="3"/>
  <c r="F558" i="3"/>
  <c r="C556" i="3"/>
  <c r="I550" i="3"/>
  <c r="C533" i="3"/>
  <c r="I526" i="3"/>
  <c r="F519" i="3"/>
  <c r="I510" i="3"/>
  <c r="I585" i="3"/>
  <c r="F585" i="3"/>
  <c r="H579" i="3"/>
  <c r="H574" i="3"/>
  <c r="C544" i="3"/>
  <c r="C547" i="3"/>
  <c r="C545" i="3"/>
  <c r="C546" i="3"/>
  <c r="I540" i="3"/>
  <c r="I538" i="3"/>
  <c r="I537" i="3"/>
  <c r="F533" i="3"/>
  <c r="F536" i="3"/>
  <c r="F534" i="3"/>
  <c r="F537" i="3"/>
  <c r="F532" i="3"/>
  <c r="H527" i="3"/>
  <c r="H530" i="3"/>
  <c r="H528" i="3"/>
  <c r="H531" i="3"/>
  <c r="H526" i="3"/>
  <c r="F455" i="3"/>
  <c r="H607" i="3"/>
  <c r="C604" i="3"/>
  <c r="F597" i="3"/>
  <c r="C593" i="3"/>
  <c r="F592" i="3"/>
  <c r="H591" i="3"/>
  <c r="C588" i="3"/>
  <c r="F587" i="3"/>
  <c r="F582" i="3"/>
  <c r="H581" i="3"/>
  <c r="I574" i="3"/>
  <c r="I573" i="3"/>
  <c r="C569" i="3"/>
  <c r="F567" i="3"/>
  <c r="F566" i="3"/>
  <c r="H565" i="3"/>
  <c r="F560" i="3"/>
  <c r="F559" i="3"/>
  <c r="C558" i="3"/>
  <c r="C557" i="3"/>
  <c r="F550" i="3"/>
  <c r="I534" i="3"/>
  <c r="F503" i="3"/>
  <c r="F498" i="3"/>
  <c r="C496" i="3"/>
  <c r="F490" i="3"/>
  <c r="C488" i="3"/>
  <c r="F482" i="3"/>
  <c r="C480" i="3"/>
  <c r="F474" i="3"/>
  <c r="C472" i="3"/>
  <c r="F466" i="3"/>
  <c r="C464" i="3"/>
  <c r="F458" i="3"/>
  <c r="C456" i="3"/>
  <c r="F450" i="3"/>
  <c r="C448" i="3"/>
  <c r="F442" i="3"/>
  <c r="C440" i="3"/>
  <c r="F434" i="3"/>
  <c r="C432" i="3"/>
  <c r="F426" i="3"/>
  <c r="C424" i="3"/>
  <c r="F418" i="3"/>
  <c r="C416" i="3"/>
  <c r="F410" i="3"/>
  <c r="C408" i="3"/>
  <c r="F402" i="3"/>
  <c r="C400" i="3"/>
  <c r="F394" i="3"/>
  <c r="C392" i="3"/>
  <c r="F386" i="3"/>
  <c r="C384" i="3"/>
  <c r="F378" i="3"/>
  <c r="F415" i="3"/>
  <c r="F407" i="3"/>
  <c r="F399" i="3"/>
  <c r="F391" i="3"/>
  <c r="F383" i="3"/>
  <c r="F500" i="3"/>
  <c r="C498" i="3"/>
  <c r="F492" i="3"/>
  <c r="C490" i="3"/>
  <c r="F484" i="3"/>
  <c r="C482" i="3"/>
  <c r="F476" i="3"/>
  <c r="C474" i="3"/>
  <c r="F468" i="3"/>
  <c r="C466" i="3"/>
  <c r="F460" i="3"/>
  <c r="C458" i="3"/>
  <c r="F452" i="3"/>
  <c r="C450" i="3"/>
  <c r="F444" i="3"/>
  <c r="C442" i="3"/>
  <c r="F436" i="3"/>
  <c r="C434" i="3"/>
  <c r="F428" i="3"/>
  <c r="C426" i="3"/>
  <c r="F420" i="3"/>
  <c r="C418" i="3"/>
  <c r="F412" i="3"/>
  <c r="C410" i="3"/>
  <c r="F404" i="3"/>
  <c r="C402" i="3"/>
  <c r="F396" i="3"/>
  <c r="C394" i="3"/>
  <c r="F388" i="3"/>
  <c r="C386" i="3"/>
  <c r="F380" i="3"/>
  <c r="C378" i="3"/>
  <c r="F497" i="3"/>
  <c r="C495" i="3"/>
  <c r="F489" i="3"/>
  <c r="C487" i="3"/>
  <c r="F481" i="3"/>
  <c r="C479" i="3"/>
  <c r="F473" i="3"/>
  <c r="C471" i="3"/>
  <c r="F465" i="3"/>
  <c r="C463" i="3"/>
  <c r="F457" i="3"/>
  <c r="C455" i="3"/>
  <c r="F449" i="3"/>
  <c r="C447" i="3"/>
  <c r="F441" i="3"/>
  <c r="C439" i="3"/>
  <c r="F433" i="3"/>
  <c r="C431" i="3"/>
  <c r="F425" i="3"/>
  <c r="C423" i="3"/>
  <c r="F417" i="3"/>
  <c r="C415" i="3"/>
  <c r="F409" i="3"/>
  <c r="C407" i="3"/>
  <c r="F401" i="3"/>
  <c r="C399" i="3"/>
  <c r="F393" i="3"/>
  <c r="C391" i="3"/>
  <c r="F385" i="3"/>
  <c r="C383" i="3"/>
  <c r="F377" i="3"/>
  <c r="C500" i="3"/>
  <c r="F494" i="3"/>
  <c r="C492" i="3"/>
  <c r="F486" i="3"/>
  <c r="C484" i="3"/>
  <c r="F478" i="3"/>
  <c r="C476" i="3"/>
  <c r="F470" i="3"/>
  <c r="C468" i="3"/>
  <c r="F462" i="3"/>
  <c r="C460" i="3"/>
  <c r="F454" i="3"/>
  <c r="C452" i="3"/>
  <c r="F446" i="3"/>
  <c r="C444" i="3"/>
  <c r="F438" i="3"/>
  <c r="C436" i="3"/>
  <c r="F430" i="3"/>
  <c r="C428" i="3"/>
  <c r="F422" i="3"/>
  <c r="C420" i="3"/>
  <c r="F414" i="3"/>
  <c r="C412" i="3"/>
  <c r="F406" i="3"/>
  <c r="C404" i="3"/>
  <c r="F398" i="3"/>
  <c r="C396" i="3"/>
  <c r="F390" i="3"/>
  <c r="C388" i="3"/>
  <c r="F382" i="3"/>
  <c r="C380" i="3"/>
  <c r="F499" i="3"/>
  <c r="C497" i="3"/>
  <c r="F491" i="3"/>
  <c r="C489" i="3"/>
  <c r="F483" i="3"/>
  <c r="C481" i="3"/>
  <c r="F475" i="3"/>
  <c r="C473" i="3"/>
  <c r="F467" i="3"/>
  <c r="C465" i="3"/>
  <c r="F459" i="3"/>
  <c r="C457" i="3"/>
  <c r="F451" i="3"/>
  <c r="C449" i="3"/>
  <c r="F443" i="3"/>
  <c r="C441" i="3"/>
  <c r="F435" i="3"/>
  <c r="C433" i="3"/>
  <c r="F427" i="3"/>
  <c r="C425" i="3"/>
  <c r="F419" i="3"/>
  <c r="C417" i="3"/>
  <c r="F411" i="3"/>
  <c r="C409" i="3"/>
  <c r="F403" i="3"/>
  <c r="C401" i="3"/>
  <c r="F395" i="3"/>
  <c r="C393" i="3"/>
  <c r="F387" i="3"/>
  <c r="C385" i="3"/>
  <c r="F379" i="3"/>
  <c r="C377" i="3"/>
  <c r="F496" i="3"/>
  <c r="C486" i="3"/>
  <c r="F480" i="3"/>
  <c r="C470" i="3"/>
  <c r="F456" i="3"/>
  <c r="C446" i="3"/>
  <c r="F440" i="3"/>
  <c r="C430" i="3"/>
  <c r="F416" i="3"/>
  <c r="C406" i="3"/>
  <c r="F400" i="3"/>
  <c r="C390" i="3"/>
  <c r="F373" i="3"/>
  <c r="C371" i="3"/>
  <c r="F365" i="3"/>
  <c r="C363" i="3"/>
  <c r="F357" i="3"/>
  <c r="C355" i="3"/>
  <c r="F349" i="3"/>
  <c r="C347" i="3"/>
  <c r="F341" i="3"/>
  <c r="C339" i="3"/>
  <c r="F333" i="3"/>
  <c r="C331" i="3"/>
  <c r="F325" i="3"/>
  <c r="C323" i="3"/>
  <c r="F317" i="3"/>
  <c r="C315" i="3"/>
  <c r="F309" i="3"/>
  <c r="C307" i="3"/>
  <c r="F301" i="3"/>
  <c r="C299" i="3"/>
  <c r="F293" i="3"/>
  <c r="C291" i="3"/>
  <c r="F285" i="3"/>
  <c r="C283" i="3"/>
  <c r="F277" i="3"/>
  <c r="C275" i="3"/>
  <c r="F269" i="3"/>
  <c r="C267" i="3"/>
  <c r="F261" i="3"/>
  <c r="C259" i="3"/>
  <c r="F253" i="3"/>
  <c r="C376" i="3"/>
  <c r="F370" i="3"/>
  <c r="C368" i="3"/>
  <c r="F362" i="3"/>
  <c r="C360" i="3"/>
  <c r="F354" i="3"/>
  <c r="C352" i="3"/>
  <c r="F346" i="3"/>
  <c r="C344" i="3"/>
  <c r="F338" i="3"/>
  <c r="C336" i="3"/>
  <c r="F330" i="3"/>
  <c r="C328" i="3"/>
  <c r="F322" i="3"/>
  <c r="C320" i="3"/>
  <c r="F314" i="3"/>
  <c r="C312" i="3"/>
  <c r="F306" i="3"/>
  <c r="C304" i="3"/>
  <c r="F298" i="3"/>
  <c r="C296" i="3"/>
  <c r="F290" i="3"/>
  <c r="C288" i="3"/>
  <c r="F282" i="3"/>
  <c r="C280" i="3"/>
  <c r="F274" i="3"/>
  <c r="C272" i="3"/>
  <c r="F266" i="3"/>
  <c r="C264" i="3"/>
  <c r="F258" i="3"/>
  <c r="C256" i="3"/>
  <c r="F375" i="3"/>
  <c r="C373" i="3"/>
  <c r="F367" i="3"/>
  <c r="C365" i="3"/>
  <c r="F359" i="3"/>
  <c r="C357" i="3"/>
  <c r="F351" i="3"/>
  <c r="C349" i="3"/>
  <c r="F343" i="3"/>
  <c r="C341" i="3"/>
  <c r="F335" i="3"/>
  <c r="C333" i="3"/>
  <c r="F327" i="3"/>
  <c r="C325" i="3"/>
  <c r="F319" i="3"/>
  <c r="C317" i="3"/>
  <c r="F311" i="3"/>
  <c r="C309" i="3"/>
  <c r="F303" i="3"/>
  <c r="C301" i="3"/>
  <c r="F295" i="3"/>
  <c r="C293" i="3"/>
  <c r="F287" i="3"/>
  <c r="C285" i="3"/>
  <c r="F279" i="3"/>
  <c r="C277" i="3"/>
  <c r="F271" i="3"/>
  <c r="C269" i="3"/>
  <c r="F263" i="3"/>
  <c r="C261" i="3"/>
  <c r="F255" i="3"/>
  <c r="C253" i="3"/>
  <c r="F372" i="3"/>
  <c r="C370" i="3"/>
  <c r="F364" i="3"/>
  <c r="C362" i="3"/>
  <c r="F356" i="3"/>
  <c r="C354" i="3"/>
  <c r="F348" i="3"/>
  <c r="C346" i="3"/>
  <c r="F340" i="3"/>
  <c r="C338" i="3"/>
  <c r="F332" i="3"/>
  <c r="C330" i="3"/>
  <c r="F324" i="3"/>
  <c r="C322" i="3"/>
  <c r="F316" i="3"/>
  <c r="C314" i="3"/>
  <c r="F308" i="3"/>
  <c r="C306" i="3"/>
  <c r="F300" i="3"/>
  <c r="C298" i="3"/>
  <c r="F292" i="3"/>
  <c r="C290" i="3"/>
  <c r="F284" i="3"/>
  <c r="C282" i="3"/>
  <c r="F276" i="3"/>
  <c r="C274" i="3"/>
  <c r="F268" i="3"/>
  <c r="C266" i="3"/>
  <c r="F260" i="3"/>
  <c r="C258" i="3"/>
  <c r="F252" i="3"/>
  <c r="C375" i="3"/>
  <c r="F369" i="3"/>
  <c r="C367" i="3"/>
  <c r="F361" i="3"/>
  <c r="C359" i="3"/>
  <c r="F353" i="3"/>
  <c r="C351" i="3"/>
  <c r="F345" i="3"/>
  <c r="C343" i="3"/>
  <c r="F337" i="3"/>
  <c r="C335" i="3"/>
  <c r="F329" i="3"/>
  <c r="C327" i="3"/>
  <c r="F321" i="3"/>
  <c r="C319" i="3"/>
  <c r="F313" i="3"/>
  <c r="C311" i="3"/>
  <c r="F305" i="3"/>
  <c r="C303" i="3"/>
  <c r="F297" i="3"/>
  <c r="C295" i="3"/>
  <c r="F289" i="3"/>
  <c r="C287" i="3"/>
  <c r="F281" i="3"/>
  <c r="C279" i="3"/>
  <c r="F273" i="3"/>
  <c r="C271" i="3"/>
  <c r="F265" i="3"/>
  <c r="C263" i="3"/>
  <c r="F257" i="3"/>
  <c r="C255" i="3"/>
  <c r="F374" i="3"/>
  <c r="C372" i="3"/>
  <c r="F366" i="3"/>
  <c r="C364" i="3"/>
  <c r="F358" i="3"/>
  <c r="C356" i="3"/>
  <c r="F350" i="3"/>
  <c r="C348" i="3"/>
  <c r="F342" i="3"/>
  <c r="C340" i="3"/>
  <c r="F334" i="3"/>
  <c r="C332" i="3"/>
  <c r="F326" i="3"/>
  <c r="C324" i="3"/>
  <c r="F318" i="3"/>
  <c r="C316" i="3"/>
  <c r="F310" i="3"/>
  <c r="C308" i="3"/>
  <c r="F302" i="3"/>
  <c r="C300" i="3"/>
  <c r="F294" i="3"/>
  <c r="C292" i="3"/>
  <c r="F286" i="3"/>
  <c r="C284" i="3"/>
  <c r="F278" i="3"/>
  <c r="C276" i="3"/>
  <c r="F270" i="3"/>
  <c r="C268" i="3"/>
  <c r="F262" i="3"/>
  <c r="C260" i="3"/>
  <c r="F254" i="3"/>
  <c r="C252" i="3"/>
  <c r="F371" i="3"/>
  <c r="C361" i="3"/>
  <c r="F355" i="3"/>
  <c r="C345" i="3"/>
  <c r="F331" i="3"/>
  <c r="C321" i="3"/>
  <c r="F315" i="3"/>
  <c r="C305" i="3"/>
  <c r="F291" i="3"/>
  <c r="C281" i="3"/>
  <c r="F275" i="3"/>
  <c r="C265" i="3"/>
  <c r="F104" i="3"/>
  <c r="C94" i="3"/>
  <c r="C86" i="3"/>
  <c r="C78" i="3"/>
  <c r="F24" i="3"/>
  <c r="C14" i="3"/>
  <c r="C6" i="3"/>
  <c r="F248" i="3"/>
  <c r="C246" i="3"/>
  <c r="F240" i="3"/>
  <c r="C238" i="3"/>
  <c r="F232" i="3"/>
  <c r="C230" i="3"/>
  <c r="F224" i="3"/>
  <c r="C222" i="3"/>
  <c r="F216" i="3"/>
  <c r="C214" i="3"/>
  <c r="F208" i="3"/>
  <c r="C206" i="3"/>
  <c r="F200" i="3"/>
  <c r="C198" i="3"/>
  <c r="F192" i="3"/>
  <c r="C190" i="3"/>
  <c r="F184" i="3"/>
  <c r="C182" i="3"/>
  <c r="F176" i="3"/>
  <c r="C174" i="3"/>
  <c r="F168" i="3"/>
  <c r="C166" i="3"/>
  <c r="F160" i="3"/>
  <c r="C158" i="3"/>
  <c r="F152" i="3"/>
  <c r="C150" i="3"/>
  <c r="F144" i="3"/>
  <c r="C142" i="3"/>
  <c r="F136" i="3"/>
  <c r="C134" i="3"/>
  <c r="F128" i="3"/>
  <c r="F112" i="3"/>
  <c r="C102" i="3"/>
  <c r="F32" i="3"/>
  <c r="C22" i="3"/>
  <c r="C251" i="3"/>
  <c r="F245" i="3"/>
  <c r="C243" i="3"/>
  <c r="F237" i="3"/>
  <c r="C235" i="3"/>
  <c r="F229" i="3"/>
  <c r="C227" i="3"/>
  <c r="F221" i="3"/>
  <c r="C219" i="3"/>
  <c r="F213" i="3"/>
  <c r="C211" i="3"/>
  <c r="F205" i="3"/>
  <c r="C203" i="3"/>
  <c r="F197" i="3"/>
  <c r="C195" i="3"/>
  <c r="F189" i="3"/>
  <c r="C187" i="3"/>
  <c r="F181" i="3"/>
  <c r="C179" i="3"/>
  <c r="F173" i="3"/>
  <c r="C171" i="3"/>
  <c r="F165" i="3"/>
  <c r="C163" i="3"/>
  <c r="F157" i="3"/>
  <c r="C155" i="3"/>
  <c r="F149" i="3"/>
  <c r="C147" i="3"/>
  <c r="F141" i="3"/>
  <c r="C139" i="3"/>
  <c r="F133" i="3"/>
  <c r="C131" i="3"/>
  <c r="F120" i="3"/>
  <c r="F48" i="3"/>
  <c r="F40" i="3"/>
  <c r="F250" i="3"/>
  <c r="C248" i="3"/>
  <c r="F242" i="3"/>
  <c r="C240" i="3"/>
  <c r="F234" i="3"/>
  <c r="C232" i="3"/>
  <c r="F226" i="3"/>
  <c r="C224" i="3"/>
  <c r="F218" i="3"/>
  <c r="C216" i="3"/>
  <c r="F210" i="3"/>
  <c r="C208" i="3"/>
  <c r="F202" i="3"/>
  <c r="C200" i="3"/>
  <c r="F194" i="3"/>
  <c r="C192" i="3"/>
  <c r="F186" i="3"/>
  <c r="C184" i="3"/>
  <c r="F178" i="3"/>
  <c r="C176" i="3"/>
  <c r="F170" i="3"/>
  <c r="C168" i="3"/>
  <c r="F162" i="3"/>
  <c r="C160" i="3"/>
  <c r="F154" i="3"/>
  <c r="C152" i="3"/>
  <c r="F146" i="3"/>
  <c r="C144" i="3"/>
  <c r="F138" i="3"/>
  <c r="C136" i="3"/>
  <c r="F130" i="3"/>
  <c r="C128" i="3"/>
  <c r="C110" i="3"/>
  <c r="F56" i="3"/>
  <c r="C30" i="3"/>
  <c r="F247" i="3"/>
  <c r="C245" i="3"/>
  <c r="F239" i="3"/>
  <c r="C237" i="3"/>
  <c r="F231" i="3"/>
  <c r="C229" i="3"/>
  <c r="F223" i="3"/>
  <c r="C221" i="3"/>
  <c r="F215" i="3"/>
  <c r="C213" i="3"/>
  <c r="F207" i="3"/>
  <c r="C205" i="3"/>
  <c r="F199" i="3"/>
  <c r="C197" i="3"/>
  <c r="F191" i="3"/>
  <c r="C189" i="3"/>
  <c r="F183" i="3"/>
  <c r="C181" i="3"/>
  <c r="F175" i="3"/>
  <c r="C173" i="3"/>
  <c r="F167" i="3"/>
  <c r="C165" i="3"/>
  <c r="F159" i="3"/>
  <c r="C157" i="3"/>
  <c r="F151" i="3"/>
  <c r="C149" i="3"/>
  <c r="F143" i="3"/>
  <c r="C141" i="3"/>
  <c r="F135" i="3"/>
  <c r="C133" i="3"/>
  <c r="F127" i="3"/>
  <c r="C126" i="3"/>
  <c r="C118" i="3"/>
  <c r="F64" i="3"/>
  <c r="C54" i="3"/>
  <c r="C46" i="3"/>
  <c r="C38" i="3"/>
  <c r="C250" i="3"/>
  <c r="F244" i="3"/>
  <c r="C242" i="3"/>
  <c r="F236" i="3"/>
  <c r="C234" i="3"/>
  <c r="F228" i="3"/>
  <c r="C226" i="3"/>
  <c r="F220" i="3"/>
  <c r="C218" i="3"/>
  <c r="F212" i="3"/>
  <c r="C210" i="3"/>
  <c r="F204" i="3"/>
  <c r="C202" i="3"/>
  <c r="F196" i="3"/>
  <c r="C194" i="3"/>
  <c r="F188" i="3"/>
  <c r="C186" i="3"/>
  <c r="F180" i="3"/>
  <c r="C178" i="3"/>
  <c r="F172" i="3"/>
  <c r="C170" i="3"/>
  <c r="F164" i="3"/>
  <c r="C162" i="3"/>
  <c r="F156" i="3"/>
  <c r="C154" i="3"/>
  <c r="F148" i="3"/>
  <c r="C146" i="3"/>
  <c r="F140" i="3"/>
  <c r="C138" i="3"/>
  <c r="F132" i="3"/>
  <c r="C130" i="3"/>
  <c r="F72" i="3"/>
  <c r="C62" i="3"/>
  <c r="F249" i="3"/>
  <c r="C247" i="3"/>
  <c r="F241" i="3"/>
  <c r="C239" i="3"/>
  <c r="F233" i="3"/>
  <c r="C231" i="3"/>
  <c r="F225" i="3"/>
  <c r="C223" i="3"/>
  <c r="F217" i="3"/>
  <c r="C215" i="3"/>
  <c r="F209" i="3"/>
  <c r="C207" i="3"/>
  <c r="F201" i="3"/>
  <c r="C199" i="3"/>
  <c r="F193" i="3"/>
  <c r="C191" i="3"/>
  <c r="F185" i="3"/>
  <c r="C183" i="3"/>
  <c r="F177" i="3"/>
  <c r="C175" i="3"/>
  <c r="F169" i="3"/>
  <c r="C167" i="3"/>
  <c r="F161" i="3"/>
  <c r="C159" i="3"/>
  <c r="F153" i="3"/>
  <c r="C151" i="3"/>
  <c r="F145" i="3"/>
  <c r="C143" i="3"/>
  <c r="F137" i="3"/>
  <c r="C135" i="3"/>
  <c r="F129" i="3"/>
  <c r="C127" i="3"/>
  <c r="F88" i="3"/>
  <c r="F80" i="3"/>
  <c r="F8" i="3"/>
  <c r="F246" i="3"/>
  <c r="C236" i="3"/>
  <c r="F230" i="3"/>
  <c r="C220" i="3"/>
  <c r="F206" i="3"/>
  <c r="C196" i="3"/>
  <c r="F190" i="3"/>
  <c r="C180" i="3"/>
  <c r="F166" i="3"/>
  <c r="C156" i="3"/>
  <c r="F150" i="3"/>
  <c r="C140" i="3"/>
  <c r="F96" i="3"/>
  <c r="C70" i="3"/>
  <c r="F16" i="3"/>
  <c r="F123" i="3"/>
  <c r="C121" i="3"/>
  <c r="F115" i="3"/>
  <c r="C113" i="3"/>
  <c r="F107" i="3"/>
  <c r="C105" i="3"/>
  <c r="F99" i="3"/>
  <c r="C97" i="3"/>
  <c r="F91" i="3"/>
  <c r="C89" i="3"/>
  <c r="F83" i="3"/>
  <c r="C81" i="3"/>
  <c r="F75" i="3"/>
  <c r="C73" i="3"/>
  <c r="F67" i="3"/>
  <c r="C65" i="3"/>
  <c r="F59" i="3"/>
  <c r="C57" i="3"/>
  <c r="F51" i="3"/>
  <c r="C49" i="3"/>
  <c r="F43" i="3"/>
  <c r="C41" i="3"/>
  <c r="F35" i="3"/>
  <c r="C33" i="3"/>
  <c r="F27" i="3"/>
  <c r="C25" i="3"/>
  <c r="F19" i="3"/>
  <c r="C17" i="3"/>
  <c r="F11" i="3"/>
  <c r="C9" i="3"/>
  <c r="F3" i="3"/>
  <c r="F125" i="3"/>
  <c r="C123" i="3"/>
  <c r="F117" i="3"/>
  <c r="C115" i="3"/>
  <c r="F109" i="3"/>
  <c r="C107" i="3"/>
  <c r="F101" i="3"/>
  <c r="C99" i="3"/>
  <c r="F93" i="3"/>
  <c r="C91" i="3"/>
  <c r="F85" i="3"/>
  <c r="C83" i="3"/>
  <c r="F77" i="3"/>
  <c r="C75" i="3"/>
  <c r="F69" i="3"/>
  <c r="C67" i="3"/>
  <c r="F61" i="3"/>
  <c r="C59" i="3"/>
  <c r="F53" i="3"/>
  <c r="C51" i="3"/>
  <c r="F45" i="3"/>
  <c r="C43" i="3"/>
  <c r="F37" i="3"/>
  <c r="C35" i="3"/>
  <c r="F29" i="3"/>
  <c r="C27" i="3"/>
  <c r="F21" i="3"/>
  <c r="C19" i="3"/>
  <c r="F13" i="3"/>
  <c r="C11" i="3"/>
  <c r="F5" i="3"/>
  <c r="C3" i="3"/>
  <c r="F122" i="3"/>
  <c r="C120" i="3"/>
  <c r="F114" i="3"/>
  <c r="C112" i="3"/>
  <c r="F106" i="3"/>
  <c r="C104" i="3"/>
  <c r="F98" i="3"/>
  <c r="C96" i="3"/>
  <c r="F90" i="3"/>
  <c r="C88" i="3"/>
  <c r="F82" i="3"/>
  <c r="C80" i="3"/>
  <c r="F74" i="3"/>
  <c r="C72" i="3"/>
  <c r="F66" i="3"/>
  <c r="C64" i="3"/>
  <c r="F58" i="3"/>
  <c r="C56" i="3"/>
  <c r="F50" i="3"/>
  <c r="C48" i="3"/>
  <c r="F42" i="3"/>
  <c r="C40" i="3"/>
  <c r="F34" i="3"/>
  <c r="C32" i="3"/>
  <c r="F26" i="3"/>
  <c r="C24" i="3"/>
  <c r="F18" i="3"/>
  <c r="C16" i="3"/>
  <c r="F10" i="3"/>
  <c r="C8" i="3"/>
  <c r="F2" i="3"/>
  <c r="C125" i="3"/>
  <c r="F119" i="3"/>
  <c r="C117" i="3"/>
  <c r="F111" i="3"/>
  <c r="C109" i="3"/>
  <c r="F103" i="3"/>
  <c r="C101" i="3"/>
  <c r="F95" i="3"/>
  <c r="C93" i="3"/>
  <c r="F87" i="3"/>
  <c r="C85" i="3"/>
  <c r="F79" i="3"/>
  <c r="C77" i="3"/>
  <c r="F71" i="3"/>
  <c r="C69" i="3"/>
  <c r="F63" i="3"/>
  <c r="C61" i="3"/>
  <c r="F55" i="3"/>
  <c r="C53" i="3"/>
  <c r="F47" i="3"/>
  <c r="C45" i="3"/>
  <c r="F39" i="3"/>
  <c r="C37" i="3"/>
  <c r="F31" i="3"/>
  <c r="C29" i="3"/>
  <c r="F23" i="3"/>
  <c r="C21" i="3"/>
  <c r="F15" i="3"/>
  <c r="C13" i="3"/>
  <c r="F7" i="3"/>
  <c r="C5" i="3"/>
  <c r="F124" i="3"/>
  <c r="C122" i="3"/>
  <c r="F116" i="3"/>
  <c r="C114" i="3"/>
  <c r="F108" i="3"/>
  <c r="C106" i="3"/>
  <c r="F100" i="3"/>
  <c r="C98" i="3"/>
  <c r="F92" i="3"/>
  <c r="C90" i="3"/>
  <c r="F84" i="3"/>
  <c r="C82" i="3"/>
  <c r="F76" i="3"/>
  <c r="C74" i="3"/>
  <c r="F68" i="3"/>
  <c r="C66" i="3"/>
  <c r="F60" i="3"/>
  <c r="C58" i="3"/>
  <c r="F52" i="3"/>
  <c r="C50" i="3"/>
  <c r="F44" i="3"/>
  <c r="C42" i="3"/>
  <c r="F36" i="3"/>
  <c r="C34" i="3"/>
  <c r="F28" i="3"/>
  <c r="C26" i="3"/>
  <c r="F20" i="3"/>
  <c r="C18" i="3"/>
  <c r="F12" i="3"/>
  <c r="C10" i="3"/>
  <c r="F4" i="3"/>
  <c r="C2" i="3"/>
  <c r="F121" i="3"/>
  <c r="C111" i="3"/>
  <c r="F105" i="3"/>
  <c r="C95" i="3"/>
  <c r="F81" i="3"/>
  <c r="C71" i="3"/>
  <c r="F65" i="3"/>
  <c r="C55" i="3"/>
  <c r="F41" i="3"/>
  <c r="C31" i="3"/>
  <c r="F25" i="3"/>
  <c r="C15" i="3"/>
  <c r="E40" i="2"/>
  <c r="E39" i="2"/>
  <c r="Q37" i="2"/>
  <c r="K716" i="3" s="1"/>
  <c r="L32" i="2"/>
  <c r="E31" i="2"/>
  <c r="Q29" i="2"/>
  <c r="K668" i="3" s="1"/>
  <c r="L24" i="2"/>
  <c r="E23" i="2"/>
  <c r="E32" i="2"/>
  <c r="F39" i="2"/>
  <c r="E38" i="2"/>
  <c r="Q36" i="2"/>
  <c r="K710" i="3" s="1"/>
  <c r="F31" i="2"/>
  <c r="E30" i="2"/>
  <c r="Q28" i="2"/>
  <c r="K662" i="3" s="1"/>
  <c r="E24" i="2"/>
  <c r="Q43" i="2"/>
  <c r="K752" i="3" s="1"/>
  <c r="L38" i="2"/>
  <c r="M38" i="2" s="1"/>
  <c r="K720" i="3" s="1"/>
  <c r="E37" i="2"/>
  <c r="Q35" i="2"/>
  <c r="K704" i="3" s="1"/>
  <c r="L30" i="2"/>
  <c r="E29" i="2"/>
  <c r="Q42" i="2"/>
  <c r="K746" i="3" s="1"/>
  <c r="E36" i="2"/>
  <c r="F29" i="2"/>
  <c r="E28" i="2"/>
  <c r="Q26" i="2"/>
  <c r="K650" i="3" s="1"/>
  <c r="E43" i="2"/>
  <c r="L36" i="2"/>
  <c r="E35" i="2"/>
  <c r="F28" i="2"/>
  <c r="E27" i="2"/>
  <c r="L43" i="2"/>
  <c r="E42" i="2"/>
  <c r="F35" i="2"/>
  <c r="E34" i="2"/>
  <c r="Q32" i="2"/>
  <c r="K686" i="3" s="1"/>
  <c r="F27" i="2"/>
  <c r="E26" i="2"/>
  <c r="Q24" i="2"/>
  <c r="K638" i="3" s="1"/>
  <c r="E41" i="2"/>
  <c r="F34" i="2"/>
  <c r="E33" i="2"/>
  <c r="F26" i="2"/>
  <c r="E25" i="2"/>
  <c r="Q23" i="2"/>
  <c r="K632" i="3" s="1"/>
  <c r="F19" i="2"/>
  <c r="Q17" i="2"/>
  <c r="K596" i="3" s="1"/>
  <c r="F13" i="2"/>
  <c r="Q11" i="2"/>
  <c r="K560" i="3" s="1"/>
  <c r="E5" i="2"/>
  <c r="Q3" i="2"/>
  <c r="K512" i="3" s="1"/>
  <c r="E4" i="2"/>
  <c r="E17" i="2"/>
  <c r="E11" i="2"/>
  <c r="Q9" i="2"/>
  <c r="K548" i="3" s="1"/>
  <c r="E3" i="2"/>
  <c r="E18" i="2"/>
  <c r="Q2" i="2"/>
  <c r="K506" i="3" s="1"/>
  <c r="E16" i="2"/>
  <c r="L11" i="2"/>
  <c r="E10" i="2"/>
  <c r="L3" i="2"/>
  <c r="E2" i="2"/>
  <c r="E12" i="2"/>
  <c r="E22" i="2"/>
  <c r="G627" i="3" s="1"/>
  <c r="Q20" i="2"/>
  <c r="K614" i="3" s="1"/>
  <c r="E9" i="2"/>
  <c r="Q7" i="2"/>
  <c r="K536" i="3" s="1"/>
  <c r="Q10" i="2"/>
  <c r="K554" i="3" s="1"/>
  <c r="L22" i="2"/>
  <c r="E21" i="2"/>
  <c r="Q19" i="2"/>
  <c r="K608" i="3" s="1"/>
  <c r="Q18" i="2"/>
  <c r="K602" i="3" s="1"/>
  <c r="E15" i="2"/>
  <c r="Q12" i="2"/>
  <c r="K566" i="3" s="1"/>
  <c r="E8" i="2"/>
  <c r="E20" i="2"/>
  <c r="E14" i="2"/>
  <c r="E7" i="2"/>
  <c r="Q5" i="2"/>
  <c r="K524" i="3" s="1"/>
  <c r="F20" i="2"/>
  <c r="E19" i="2"/>
  <c r="E13" i="2"/>
  <c r="E6" i="2"/>
  <c r="M44" i="2"/>
  <c r="K756" i="3" s="1"/>
  <c r="Q49" i="2"/>
  <c r="K788" i="3" s="1"/>
  <c r="F24" i="2"/>
  <c r="Q16" i="2"/>
  <c r="K590" i="3" s="1"/>
  <c r="F47" i="2"/>
  <c r="L47" i="2"/>
  <c r="F46" i="2"/>
  <c r="F30" i="2"/>
  <c r="F42" i="2"/>
  <c r="L42" i="2"/>
  <c r="F37" i="2"/>
  <c r="L37" i="2"/>
  <c r="F10" i="2"/>
  <c r="L10" i="2"/>
  <c r="F18" i="2"/>
  <c r="L18" i="2"/>
  <c r="F48" i="2"/>
  <c r="L48" i="2"/>
  <c r="L21" i="2"/>
  <c r="F21" i="2"/>
  <c r="L45" i="2"/>
  <c r="F45" i="2"/>
  <c r="F12" i="2"/>
  <c r="L12" i="2"/>
  <c r="L5" i="2"/>
  <c r="F5" i="2"/>
  <c r="L27" i="2"/>
  <c r="L19" i="2"/>
  <c r="Q13" i="2"/>
  <c r="K572" i="3" s="1"/>
  <c r="F3" i="2"/>
  <c r="L28" i="2"/>
  <c r="F22" i="2"/>
  <c r="Q21" i="2"/>
  <c r="K620" i="3" s="1"/>
  <c r="L20" i="2"/>
  <c r="L29" i="2"/>
  <c r="L13" i="2"/>
  <c r="L35" i="2"/>
  <c r="L39" i="2"/>
  <c r="L31" i="2"/>
  <c r="L15" i="2"/>
  <c r="F15" i="2"/>
  <c r="L40" i="2"/>
  <c r="F40" i="2"/>
  <c r="F23" i="2"/>
  <c r="L23" i="2"/>
  <c r="L51" i="2"/>
  <c r="F51" i="2"/>
  <c r="F41" i="2"/>
  <c r="L41" i="2"/>
  <c r="J50" i="2"/>
  <c r="J791" i="3" s="1"/>
  <c r="N50" i="2"/>
  <c r="F33" i="2"/>
  <c r="L33" i="2"/>
  <c r="L49" i="2"/>
  <c r="F49" i="2"/>
  <c r="F25" i="2"/>
  <c r="L25" i="2"/>
  <c r="L7" i="2"/>
  <c r="F7" i="2"/>
  <c r="Q6" i="2"/>
  <c r="K530" i="3" s="1"/>
  <c r="Q51" i="2"/>
  <c r="K800" i="3" s="1"/>
  <c r="F44" i="2"/>
  <c r="L14" i="2"/>
  <c r="F14" i="2"/>
  <c r="Q41" i="2"/>
  <c r="K740" i="3" s="1"/>
  <c r="F17" i="2"/>
  <c r="L17" i="2"/>
  <c r="L16" i="2"/>
  <c r="F16" i="2"/>
  <c r="L8" i="2"/>
  <c r="F8" i="2"/>
  <c r="Q48" i="2"/>
  <c r="K782" i="3" s="1"/>
  <c r="Q40" i="2"/>
  <c r="K734" i="3" s="1"/>
  <c r="Q38" i="2"/>
  <c r="K722" i="3" s="1"/>
  <c r="F36" i="2"/>
  <c r="L34" i="2"/>
  <c r="L6" i="2"/>
  <c r="F6" i="2"/>
  <c r="F43" i="2"/>
  <c r="Q39" i="2"/>
  <c r="K728" i="3" s="1"/>
  <c r="Q33" i="2"/>
  <c r="K692" i="3" s="1"/>
  <c r="Q14" i="2"/>
  <c r="K578" i="3" s="1"/>
  <c r="L2" i="2"/>
  <c r="F2" i="2"/>
  <c r="L50" i="2"/>
  <c r="M46" i="2"/>
  <c r="K768" i="3" s="1"/>
  <c r="Q30" i="2"/>
  <c r="K674" i="3" s="1"/>
  <c r="Q27" i="2"/>
  <c r="K656" i="3" s="1"/>
  <c r="L26" i="2"/>
  <c r="F11" i="2"/>
  <c r="F9" i="2"/>
  <c r="L9" i="2"/>
  <c r="L4" i="2"/>
  <c r="F4" i="2"/>
  <c r="Q22" i="2"/>
  <c r="K626" i="3" s="1"/>
  <c r="Q47" i="2"/>
  <c r="K776" i="3" s="1"/>
  <c r="F38" i="2"/>
  <c r="F32" i="2"/>
  <c r="Q31" i="2"/>
  <c r="K680" i="3" s="1"/>
  <c r="Q25" i="2"/>
  <c r="K644" i="3" s="1"/>
  <c r="Q8" i="2"/>
  <c r="K542" i="3" s="1"/>
  <c r="H97" i="1"/>
  <c r="J477" i="3" s="1"/>
  <c r="H55" i="1"/>
  <c r="H45" i="1"/>
  <c r="H21" i="1"/>
  <c r="J97" i="3" s="1"/>
  <c r="H4" i="1"/>
  <c r="J12" i="3" s="1"/>
  <c r="H73" i="1"/>
  <c r="J357" i="3" s="1"/>
  <c r="H48" i="1"/>
  <c r="J232" i="3" s="1"/>
  <c r="H16" i="1"/>
  <c r="J72" i="3" s="1"/>
  <c r="H13" i="1"/>
  <c r="J57" i="3" s="1"/>
  <c r="H11" i="1"/>
  <c r="J47" i="3" s="1"/>
  <c r="H96" i="1"/>
  <c r="J472" i="3" s="1"/>
  <c r="H93" i="1"/>
  <c r="H92" i="1"/>
  <c r="J452" i="3" s="1"/>
  <c r="H67" i="1"/>
  <c r="J327" i="3" s="1"/>
  <c r="H66" i="1"/>
  <c r="J322" i="3" s="1"/>
  <c r="H65" i="1"/>
  <c r="J317" i="3" s="1"/>
  <c r="H64" i="1"/>
  <c r="J312" i="3" s="1"/>
  <c r="H61" i="1"/>
  <c r="J297" i="3" s="1"/>
  <c r="H40" i="1"/>
  <c r="H31" i="1"/>
  <c r="H60" i="1"/>
  <c r="J292" i="3" s="1"/>
  <c r="H56" i="1"/>
  <c r="J272" i="3" s="1"/>
  <c r="H8" i="1"/>
  <c r="J32" i="3" s="1"/>
  <c r="H41" i="1"/>
  <c r="J197" i="3" s="1"/>
  <c r="H80" i="1"/>
  <c r="J392" i="3" s="1"/>
  <c r="H77" i="1"/>
  <c r="J377" i="3" s="1"/>
  <c r="H35" i="1"/>
  <c r="J167" i="3" s="1"/>
  <c r="H25" i="1"/>
  <c r="J117" i="3" s="1"/>
  <c r="H79" i="1"/>
  <c r="J387" i="3" s="1"/>
  <c r="H39" i="1"/>
  <c r="J187" i="3" s="1"/>
  <c r="H38" i="1"/>
  <c r="J182" i="3" s="1"/>
  <c r="H37" i="1"/>
  <c r="J177" i="3" s="1"/>
  <c r="H9" i="1"/>
  <c r="J37" i="3" s="1"/>
  <c r="H101" i="1"/>
  <c r="J497" i="3" s="1"/>
  <c r="H85" i="1"/>
  <c r="J417" i="3" s="1"/>
  <c r="H53" i="1"/>
  <c r="H30" i="1"/>
  <c r="J142" i="3" s="1"/>
  <c r="H29" i="1"/>
  <c r="J137" i="3" s="1"/>
  <c r="H23" i="1"/>
  <c r="J107" i="3" s="1"/>
  <c r="H20" i="1"/>
  <c r="J92" i="3" s="1"/>
  <c r="H2" i="1"/>
  <c r="J2" i="3" s="1"/>
  <c r="H57" i="1"/>
  <c r="J277" i="3" s="1"/>
  <c r="H33" i="1"/>
  <c r="J157" i="3" s="1"/>
  <c r="H98" i="1"/>
  <c r="J482" i="3" s="1"/>
  <c r="H75" i="1"/>
  <c r="J367" i="3" s="1"/>
  <c r="H95" i="1"/>
  <c r="J467" i="3" s="1"/>
  <c r="H83" i="1"/>
  <c r="J407" i="3" s="1"/>
  <c r="H72" i="1"/>
  <c r="J352" i="3" s="1"/>
  <c r="H71" i="1"/>
  <c r="J347" i="3" s="1"/>
  <c r="H51" i="1"/>
  <c r="J247" i="3" s="1"/>
  <c r="H49" i="1"/>
  <c r="J237" i="3" s="1"/>
  <c r="H17" i="1"/>
  <c r="H99" i="1"/>
  <c r="J487" i="3" s="1"/>
  <c r="H74" i="1"/>
  <c r="J362" i="3" s="1"/>
  <c r="H82" i="1"/>
  <c r="J402" i="3" s="1"/>
  <c r="H81" i="1"/>
  <c r="J397" i="3" s="1"/>
  <c r="H69" i="1"/>
  <c r="J337" i="3" s="1"/>
  <c r="H12" i="1"/>
  <c r="J52" i="3" s="1"/>
  <c r="H50" i="1"/>
  <c r="J242" i="3" s="1"/>
  <c r="H34" i="1"/>
  <c r="J162" i="3" s="1"/>
  <c r="H54" i="1"/>
  <c r="J262" i="3" s="1"/>
  <c r="H44" i="1"/>
  <c r="J212" i="3" s="1"/>
  <c r="H27" i="1"/>
  <c r="J127" i="3" s="1"/>
  <c r="H26" i="1"/>
  <c r="J122" i="3" s="1"/>
  <c r="H19" i="1"/>
  <c r="J87" i="3" s="1"/>
  <c r="H18" i="1"/>
  <c r="J82" i="3" s="1"/>
  <c r="H68" i="1"/>
  <c r="J332" i="3" s="1"/>
  <c r="H59" i="1"/>
  <c r="J287" i="3" s="1"/>
  <c r="H52" i="1"/>
  <c r="J252" i="3" s="1"/>
  <c r="H36" i="1"/>
  <c r="J172" i="3" s="1"/>
  <c r="H32" i="1"/>
  <c r="J152" i="3" s="1"/>
  <c r="H24" i="1"/>
  <c r="J112" i="3" s="1"/>
  <c r="H7" i="1"/>
  <c r="J27" i="3" s="1"/>
  <c r="H6" i="1"/>
  <c r="J22" i="3" s="1"/>
  <c r="H5" i="1"/>
  <c r="J17" i="3" s="1"/>
  <c r="H58" i="1"/>
  <c r="J282" i="3" s="1"/>
  <c r="H43" i="1"/>
  <c r="J207" i="3" s="1"/>
  <c r="H63" i="1"/>
  <c r="J307" i="3" s="1"/>
  <c r="H42" i="1"/>
  <c r="J202" i="3" s="1"/>
  <c r="H10" i="1"/>
  <c r="J42" i="3" s="1"/>
  <c r="H47" i="1"/>
  <c r="J227" i="3" s="1"/>
  <c r="H28" i="1"/>
  <c r="J132" i="3" s="1"/>
  <c r="H15" i="1"/>
  <c r="J67" i="3" s="1"/>
  <c r="H3" i="1"/>
  <c r="H94" i="1"/>
  <c r="J462" i="3" s="1"/>
  <c r="H100" i="1"/>
  <c r="J492" i="3" s="1"/>
  <c r="H78" i="1"/>
  <c r="J382" i="3" s="1"/>
  <c r="H14" i="1"/>
  <c r="J62" i="3" s="1"/>
  <c r="H90" i="1"/>
  <c r="J442" i="3" s="1"/>
  <c r="H88" i="1"/>
  <c r="J432" i="3" s="1"/>
  <c r="H86" i="1"/>
  <c r="J422" i="3" s="1"/>
  <c r="H62" i="1"/>
  <c r="J302" i="3" s="1"/>
  <c r="H46" i="1"/>
  <c r="J222" i="3" s="1"/>
  <c r="H22" i="1"/>
  <c r="J102" i="3" s="1"/>
  <c r="H76" i="1"/>
  <c r="J372" i="3" s="1"/>
  <c r="H84" i="1"/>
  <c r="J412" i="3" s="1"/>
  <c r="H91" i="1"/>
  <c r="J447" i="3" s="1"/>
  <c r="H89" i="1"/>
  <c r="J437" i="3" s="1"/>
  <c r="H87" i="1"/>
  <c r="J427" i="3" s="1"/>
  <c r="H70" i="1"/>
  <c r="J342" i="3" s="1"/>
  <c r="G358" i="3" a="1"/>
  <c r="G359" i="3" a="1"/>
  <c r="G361" i="3" a="1"/>
  <c r="G357" i="3" a="1"/>
  <c r="G360" i="3" a="1"/>
  <c r="G233" i="3" a="1"/>
  <c r="G232" i="3" a="1"/>
  <c r="G236" i="3" a="1"/>
  <c r="G235" i="3" a="1"/>
  <c r="G234" i="3" a="1"/>
  <c r="G228" i="3" a="1"/>
  <c r="G227" i="3" a="1"/>
  <c r="G231" i="3" a="1"/>
  <c r="G230" i="3" a="1"/>
  <c r="G229" i="3" a="1"/>
  <c r="G73" i="3" a="1"/>
  <c r="G72" i="3" a="1"/>
  <c r="G76" i="3" a="1"/>
  <c r="G75" i="3" a="1"/>
  <c r="G74" i="3" a="1"/>
  <c r="G68" i="3" a="1"/>
  <c r="G67" i="3" a="1"/>
  <c r="G71" i="3" a="1"/>
  <c r="G70" i="3" a="1"/>
  <c r="G69" i="3" a="1"/>
  <c r="G438" i="3" a="1"/>
  <c r="G439" i="3" a="1"/>
  <c r="G437" i="3" a="1"/>
  <c r="G441" i="3" a="1"/>
  <c r="G440" i="3" a="1"/>
  <c r="G274" i="3" a="1"/>
  <c r="G273" i="3" a="1"/>
  <c r="G272" i="3" a="1"/>
  <c r="G276" i="3" a="1"/>
  <c r="G275" i="3" a="1"/>
  <c r="G346" i="3" a="1"/>
  <c r="G343" i="3" a="1"/>
  <c r="G342" i="3" a="1"/>
  <c r="G345" i="3" a="1"/>
  <c r="G344" i="3" a="1"/>
  <c r="G22" i="3" a="1"/>
  <c r="G26" i="3" a="1"/>
  <c r="G25" i="3" a="1"/>
  <c r="G24" i="3" a="1"/>
  <c r="G23" i="3" a="1"/>
  <c r="G260" i="3" a="1"/>
  <c r="G259" i="3" a="1"/>
  <c r="G258" i="3" a="1"/>
  <c r="G257" i="3" a="1"/>
  <c r="G261" i="3" a="1"/>
  <c r="G355" i="3" a="1"/>
  <c r="G354" i="3" a="1"/>
  <c r="G353" i="3" a="1"/>
  <c r="G356" i="3" a="1"/>
  <c r="G352" i="3" a="1"/>
  <c r="G214" i="3" a="1"/>
  <c r="G213" i="3" a="1"/>
  <c r="G212" i="3" a="1"/>
  <c r="G216" i="3" a="1"/>
  <c r="G215" i="3" a="1"/>
  <c r="G490" i="3" a="1"/>
  <c r="G489" i="3" a="1"/>
  <c r="G488" i="3" a="1"/>
  <c r="G487" i="3" a="1"/>
  <c r="G491" i="3" a="1"/>
  <c r="G168" i="3" a="1"/>
  <c r="G169" i="3" a="1"/>
  <c r="G167" i="3" a="1"/>
  <c r="G171" i="3" a="1"/>
  <c r="G170" i="3" a="1"/>
  <c r="G406" i="3" a="1"/>
  <c r="G405" i="3" a="1"/>
  <c r="G404" i="3" a="1"/>
  <c r="G403" i="3" a="1"/>
  <c r="G402" i="3" a="1"/>
  <c r="G86" i="3" a="1"/>
  <c r="G82" i="3" a="1"/>
  <c r="G85" i="3" a="1"/>
  <c r="G84" i="3" a="1"/>
  <c r="G83" i="3" a="1"/>
  <c r="G41" i="3" a="1"/>
  <c r="G40" i="3" a="1"/>
  <c r="G39" i="3" a="1"/>
  <c r="G38" i="3" a="1"/>
  <c r="G37" i="3" a="1"/>
  <c r="G182" i="3" a="1"/>
  <c r="G186" i="3" a="1"/>
  <c r="G185" i="3" a="1"/>
  <c r="G184" i="3" a="1"/>
  <c r="G183" i="3" a="1"/>
  <c r="G54" i="3" a="1"/>
  <c r="G53" i="3" a="1"/>
  <c r="G52" i="3" a="1"/>
  <c r="G56" i="3" a="1"/>
  <c r="G55" i="3" a="1"/>
  <c r="G7" i="3" a="1"/>
  <c r="G11" i="3" a="1"/>
  <c r="G9" i="3" a="1"/>
  <c r="G8" i="3" a="1"/>
  <c r="G10" i="3" a="1"/>
  <c r="G481" i="3" a="1"/>
  <c r="G480" i="3" a="1"/>
  <c r="G479" i="3" a="1"/>
  <c r="G478" i="3" a="1"/>
  <c r="G477" i="3" a="1"/>
  <c r="G315" i="3" a="1"/>
  <c r="G314" i="3" a="1"/>
  <c r="G313" i="3" a="1"/>
  <c r="G312" i="3" a="1"/>
  <c r="G316" i="3" a="1"/>
  <c r="G387" i="3" a="1"/>
  <c r="G388" i="3" a="1"/>
  <c r="G391" i="3" a="1"/>
  <c r="G390" i="3" a="1"/>
  <c r="G389" i="3" a="1"/>
  <c r="G109" i="3" a="1"/>
  <c r="G108" i="3" a="1"/>
  <c r="G107" i="3" a="1"/>
  <c r="G111" i="3" a="1"/>
  <c r="G110" i="3" a="1"/>
  <c r="G306" i="3" a="1"/>
  <c r="G302" i="3" a="1"/>
  <c r="G305" i="3" a="1"/>
  <c r="G304" i="3" a="1"/>
  <c r="G303" i="3" a="1"/>
  <c r="G467" i="3" a="1"/>
  <c r="G471" i="3" a="1"/>
  <c r="G470" i="3" a="1"/>
  <c r="G469" i="3" a="1"/>
  <c r="G468" i="3" a="1"/>
  <c r="G219" i="3" a="1"/>
  <c r="G218" i="3" a="1"/>
  <c r="G217" i="3" a="1"/>
  <c r="G221" i="3" a="1"/>
  <c r="G220" i="3" a="1"/>
  <c r="G494" i="3" a="1"/>
  <c r="G495" i="3" a="1"/>
  <c r="G493" i="3" a="1"/>
  <c r="G492" i="3" a="1"/>
  <c r="G496" i="3" a="1"/>
  <c r="G173" i="3" a="1"/>
  <c r="G172" i="3" a="1"/>
  <c r="G176" i="3" a="1"/>
  <c r="G175" i="3" a="1"/>
  <c r="G174" i="3" a="1"/>
  <c r="G449" i="3" a="1"/>
  <c r="G448" i="3" a="1"/>
  <c r="G447" i="3" a="1"/>
  <c r="G451" i="3" a="1"/>
  <c r="G450" i="3" a="1"/>
  <c r="G127" i="3" a="1"/>
  <c r="G131" i="3" a="1"/>
  <c r="G130" i="3" a="1"/>
  <c r="G129" i="3" a="1"/>
  <c r="G128" i="3" a="1"/>
  <c r="G366" i="3" a="1"/>
  <c r="G363" i="3" a="1"/>
  <c r="G362" i="3" a="1"/>
  <c r="G365" i="3" a="1"/>
  <c r="G364" i="3" a="1"/>
  <c r="G45" i="3" a="1"/>
  <c r="G44" i="3" a="1"/>
  <c r="G43" i="3" a="1"/>
  <c r="G42" i="3" a="1"/>
  <c r="G46" i="3" a="1"/>
  <c r="G320" i="3" a="1"/>
  <c r="G319" i="3" a="1"/>
  <c r="G318" i="3" a="1"/>
  <c r="G317" i="3" a="1"/>
  <c r="G321" i="3" a="1"/>
  <c r="G196" i="3" a="1"/>
  <c r="G195" i="3" a="1"/>
  <c r="G194" i="3" a="1"/>
  <c r="G193" i="3" a="1"/>
  <c r="G192" i="3" a="1"/>
  <c r="G431" i="3" a="1"/>
  <c r="G430" i="3" a="1"/>
  <c r="G429" i="3" a="1"/>
  <c r="G428" i="3" a="1"/>
  <c r="G427" i="3" a="1"/>
  <c r="G394" i="3" a="1"/>
  <c r="G393" i="3" a="1"/>
  <c r="G392" i="3" a="1"/>
  <c r="G396" i="3" a="1"/>
  <c r="G395" i="3" a="1"/>
  <c r="G265" i="3" a="1"/>
  <c r="G264" i="3" a="1"/>
  <c r="G263" i="3" a="1"/>
  <c r="G262" i="3" a="1"/>
  <c r="G266" i="3" a="1"/>
  <c r="G499" i="3" a="1"/>
  <c r="G498" i="3" a="1"/>
  <c r="G497" i="3" a="1"/>
  <c r="G501" i="3" a="1"/>
  <c r="G500" i="3" a="1"/>
  <c r="G178" i="3" a="1"/>
  <c r="G177" i="3" a="1"/>
  <c r="G181" i="3" a="1"/>
  <c r="G180" i="3" a="1"/>
  <c r="G179" i="3" a="1"/>
  <c r="G453" i="3" a="1"/>
  <c r="G452" i="3" a="1"/>
  <c r="G454" i="3" a="1"/>
  <c r="G456" i="3" a="1"/>
  <c r="G455" i="3" a="1"/>
  <c r="G132" i="3" a="1"/>
  <c r="G136" i="3" a="1"/>
  <c r="G135" i="3" a="1"/>
  <c r="G134" i="3" a="1"/>
  <c r="G133" i="3" a="1"/>
  <c r="G407" i="3" a="1"/>
  <c r="G411" i="3" a="1"/>
  <c r="G410" i="3" a="1"/>
  <c r="G409" i="3" a="1"/>
  <c r="G408" i="3" a="1"/>
  <c r="G91" i="3" a="1"/>
  <c r="G90" i="3" a="1"/>
  <c r="G89" i="3" a="1"/>
  <c r="G88" i="3" a="1"/>
  <c r="G87" i="3" a="1"/>
  <c r="G325" i="3" a="1"/>
  <c r="G324" i="3" a="1"/>
  <c r="G323" i="3" a="1"/>
  <c r="G322" i="3" a="1"/>
  <c r="G326" i="3" a="1"/>
  <c r="G5" i="3" a="1"/>
  <c r="G4" i="3" a="1"/>
  <c r="G3" i="3" a="1"/>
  <c r="G6" i="3" a="1"/>
  <c r="G2" i="3" a="1"/>
  <c r="G433" i="3" a="1"/>
  <c r="G432" i="3" a="1"/>
  <c r="G436" i="3" a="1"/>
  <c r="G435" i="3" a="1"/>
  <c r="G434" i="3" a="1"/>
  <c r="G201" i="3" a="1"/>
  <c r="G200" i="3" a="1"/>
  <c r="G199" i="3" a="1"/>
  <c r="G198" i="3" a="1"/>
  <c r="G197" i="3" a="1"/>
  <c r="G36" i="3" a="1"/>
  <c r="G35" i="3" a="1"/>
  <c r="G34" i="3" a="1"/>
  <c r="G33" i="3" a="1"/>
  <c r="G32" i="3" a="1"/>
  <c r="G278" i="3" a="1"/>
  <c r="G277" i="3" a="1"/>
  <c r="G281" i="3" a="1"/>
  <c r="G280" i="3" a="1"/>
  <c r="G279" i="3" a="1"/>
  <c r="G237" i="3" a="1"/>
  <c r="G241" i="3" a="1"/>
  <c r="G240" i="3" a="1"/>
  <c r="G239" i="3" a="1"/>
  <c r="G238" i="3" a="1"/>
  <c r="G223" i="3" a="1"/>
  <c r="G222" i="3" a="1"/>
  <c r="G226" i="3" a="1"/>
  <c r="G225" i="3" a="1"/>
  <c r="G224" i="3" a="1"/>
  <c r="G458" i="3" a="1"/>
  <c r="G457" i="3" a="1"/>
  <c r="G461" i="3" a="1"/>
  <c r="G460" i="3" a="1"/>
  <c r="G459" i="3" a="1"/>
  <c r="G141" i="3" a="1"/>
  <c r="G137" i="3" a="1"/>
  <c r="G140" i="3" a="1"/>
  <c r="G139" i="3" a="1"/>
  <c r="G138" i="3" a="1"/>
  <c r="G413" i="3" a="1"/>
  <c r="G412" i="3" a="1"/>
  <c r="G414" i="3" a="1"/>
  <c r="G416" i="3" a="1"/>
  <c r="G415" i="3" a="1"/>
  <c r="G95" i="3" a="1"/>
  <c r="G94" i="3" a="1"/>
  <c r="G93" i="3" a="1"/>
  <c r="G92" i="3" a="1"/>
  <c r="G96" i="3" a="1"/>
  <c r="G367" i="3" a="1"/>
  <c r="G371" i="3" a="1"/>
  <c r="G370" i="3" a="1"/>
  <c r="G369" i="3" a="1"/>
  <c r="G368" i="3" a="1"/>
  <c r="G50" i="3" a="1"/>
  <c r="G49" i="3" a="1"/>
  <c r="G48" i="3" a="1"/>
  <c r="G47" i="3" a="1"/>
  <c r="G51" i="3" a="1"/>
  <c r="G283" i="3" a="1"/>
  <c r="G282" i="3" a="1"/>
  <c r="G286" i="3" a="1"/>
  <c r="G285" i="3" a="1"/>
  <c r="G284" i="3" a="1"/>
  <c r="G310" i="3" a="1"/>
  <c r="G311" i="3" a="1"/>
  <c r="G309" i="3" a="1"/>
  <c r="G308" i="3" a="1"/>
  <c r="G307" i="3" a="1"/>
  <c r="G463" i="3" a="1"/>
  <c r="G462" i="3" a="1"/>
  <c r="G466" i="3" a="1"/>
  <c r="G465" i="3" a="1"/>
  <c r="G464" i="3" a="1"/>
  <c r="G146" i="3" a="1"/>
  <c r="G145" i="3" a="1"/>
  <c r="G144" i="3" a="1"/>
  <c r="G143" i="3" a="1"/>
  <c r="G142" i="3" a="1"/>
  <c r="G381" i="3" a="1"/>
  <c r="G380" i="3" a="1"/>
  <c r="G379" i="3" a="1"/>
  <c r="G378" i="3" a="1"/>
  <c r="G377" i="3" a="1"/>
  <c r="G59" i="3" a="1"/>
  <c r="G58" i="3" a="1"/>
  <c r="G57" i="3" a="1"/>
  <c r="G61" i="3" a="1"/>
  <c r="G60" i="3" a="1"/>
  <c r="G334" i="3" a="1"/>
  <c r="G333" i="3" a="1"/>
  <c r="G332" i="3" a="1"/>
  <c r="G336" i="3" a="1"/>
  <c r="G335" i="3" a="1"/>
  <c r="G12" i="3" a="1"/>
  <c r="G16" i="3" a="1"/>
  <c r="G15" i="3" a="1"/>
  <c r="G13" i="3" a="1"/>
  <c r="G14" i="3" a="1"/>
  <c r="G287" i="3" a="1"/>
  <c r="G291" i="3" a="1"/>
  <c r="G290" i="3" a="1"/>
  <c r="G289" i="3" a="1"/>
  <c r="G288" i="3" a="1"/>
  <c r="G187" i="3" a="1"/>
  <c r="G191" i="3" a="1"/>
  <c r="G190" i="3" a="1"/>
  <c r="G189" i="3" a="1"/>
  <c r="G188" i="3" a="1"/>
  <c r="G205" i="3" a="1"/>
  <c r="G204" i="3" a="1"/>
  <c r="G203" i="3" a="1"/>
  <c r="G202" i="3" a="1"/>
  <c r="G206" i="3" a="1"/>
  <c r="G114" i="3" a="1"/>
  <c r="G113" i="3" a="1"/>
  <c r="G112" i="3" a="1"/>
  <c r="G116" i="3" a="1"/>
  <c r="G115" i="3" a="1"/>
  <c r="G159" i="3" a="1"/>
  <c r="G158" i="3" a="1"/>
  <c r="G157" i="3" a="1"/>
  <c r="G161" i="3" a="1"/>
  <c r="G160" i="3" a="1"/>
  <c r="G269" i="3" a="1"/>
  <c r="G268" i="3" a="1"/>
  <c r="G267" i="3" a="1"/>
  <c r="G271" i="3" a="1"/>
  <c r="G270" i="3" a="1"/>
  <c r="G426" i="3" a="1"/>
  <c r="G425" i="3" a="1"/>
  <c r="G424" i="3" a="1"/>
  <c r="G423" i="3" a="1"/>
  <c r="G422" i="3" a="1"/>
  <c r="G105" i="3" a="1"/>
  <c r="G104" i="3" a="1"/>
  <c r="G103" i="3" a="1"/>
  <c r="G102" i="3" a="1"/>
  <c r="G106" i="3" a="1"/>
  <c r="G338" i="3" a="1"/>
  <c r="G337" i="3" a="1"/>
  <c r="G341" i="3" a="1"/>
  <c r="G340" i="3" a="1"/>
  <c r="G339" i="3" a="1"/>
  <c r="G17" i="3" a="1"/>
  <c r="G21" i="3" a="1"/>
  <c r="G20" i="3" a="1"/>
  <c r="G19" i="3" a="1"/>
  <c r="G18" i="3" a="1"/>
  <c r="G296" i="3" a="1"/>
  <c r="G292" i="3" a="1"/>
  <c r="G295" i="3" a="1"/>
  <c r="G294" i="3" a="1"/>
  <c r="G293" i="3" a="1"/>
  <c r="G155" i="3" a="1"/>
  <c r="G154" i="3" a="1"/>
  <c r="G153" i="3" a="1"/>
  <c r="G152" i="3" a="1"/>
  <c r="G156" i="3" a="1"/>
  <c r="G251" i="3" a="1"/>
  <c r="G250" i="3" a="1"/>
  <c r="G249" i="3" a="1"/>
  <c r="G248" i="3" a="1"/>
  <c r="G247" i="3" a="1"/>
  <c r="G485" i="3" a="1"/>
  <c r="G484" i="3" a="1"/>
  <c r="G486" i="3" a="1"/>
  <c r="G483" i="3" a="1"/>
  <c r="G482" i="3" a="1"/>
  <c r="G164" i="3" a="1"/>
  <c r="G163" i="3" a="1"/>
  <c r="G162" i="3" a="1"/>
  <c r="G166" i="3" a="1"/>
  <c r="G165" i="3" a="1"/>
  <c r="G351" i="3" a="1"/>
  <c r="G350" i="3" a="1"/>
  <c r="G347" i="3" a="1"/>
  <c r="G349" i="3" a="1"/>
  <c r="G348" i="3" a="1"/>
  <c r="G401" i="3" a="1"/>
  <c r="G400" i="3" a="1"/>
  <c r="G399" i="3" a="1"/>
  <c r="G398" i="3" a="1"/>
  <c r="G397" i="3" a="1"/>
  <c r="G382" i="3" a="1"/>
  <c r="G386" i="3" a="1"/>
  <c r="G385" i="3" a="1"/>
  <c r="G384" i="3" a="1"/>
  <c r="G383" i="3" a="1"/>
  <c r="G297" i="3" a="1"/>
  <c r="G301" i="3" a="1"/>
  <c r="G300" i="3" a="1"/>
  <c r="G299" i="3" a="1"/>
  <c r="G298" i="3" a="1"/>
  <c r="G255" i="3" a="1"/>
  <c r="G254" i="3" a="1"/>
  <c r="G253" i="3" a="1"/>
  <c r="G252" i="3" a="1"/>
  <c r="G256" i="3" a="1"/>
  <c r="G210" i="3" a="1"/>
  <c r="G209" i="3" a="1"/>
  <c r="G208" i="3" a="1"/>
  <c r="G207" i="3" a="1"/>
  <c r="G211" i="3" a="1"/>
  <c r="G123" i="3" a="1"/>
  <c r="G122" i="3" a="1"/>
  <c r="G126" i="3" a="1"/>
  <c r="G125" i="3" a="1"/>
  <c r="G124" i="3" a="1"/>
  <c r="G77" i="3" a="1"/>
  <c r="G81" i="3" a="1"/>
  <c r="G80" i="3" a="1"/>
  <c r="G79" i="3" a="1"/>
  <c r="G78" i="3" a="1"/>
  <c r="G100" i="3" a="1"/>
  <c r="G99" i="3" a="1"/>
  <c r="G98" i="3" a="1"/>
  <c r="G97" i="3" a="1"/>
  <c r="G101" i="3" a="1"/>
  <c r="G329" i="3" a="1"/>
  <c r="G328" i="3" a="1"/>
  <c r="G327" i="3" a="1"/>
  <c r="G331" i="3" a="1"/>
  <c r="G330" i="3" a="1"/>
  <c r="G31" i="3" a="1"/>
  <c r="G27" i="3" a="1"/>
  <c r="G30" i="3" a="1"/>
  <c r="G29" i="3" a="1"/>
  <c r="G28" i="3" a="1"/>
  <c r="G63" i="3" a="1"/>
  <c r="G62" i="3" a="1"/>
  <c r="G66" i="3" a="1"/>
  <c r="G65" i="3" a="1"/>
  <c r="G64" i="3" a="1"/>
  <c r="G472" i="3" a="1"/>
  <c r="G475" i="3" a="1"/>
  <c r="G476" i="3" a="1"/>
  <c r="G474" i="3" a="1"/>
  <c r="G473" i="3" a="1"/>
  <c r="G150" i="3" a="1"/>
  <c r="G149" i="3" a="1"/>
  <c r="G148" i="3" a="1"/>
  <c r="G147" i="3" a="1"/>
  <c r="G151" i="3" a="1"/>
  <c r="G444" i="3" a="1"/>
  <c r="G443" i="3" a="1"/>
  <c r="G442" i="3" a="1"/>
  <c r="G446" i="3" a="1"/>
  <c r="G445" i="3" a="1"/>
  <c r="G118" i="3" a="1"/>
  <c r="G117" i="3" a="1"/>
  <c r="G121" i="3" a="1"/>
  <c r="G120" i="3" a="1"/>
  <c r="G119" i="3" a="1"/>
  <c r="G420" i="3" a="1"/>
  <c r="G419" i="3" a="1"/>
  <c r="G418" i="3" a="1"/>
  <c r="G417" i="3" a="1"/>
  <c r="G421" i="3" a="1"/>
  <c r="G375" i="3" a="1"/>
  <c r="G374" i="3" a="1"/>
  <c r="G373" i="3" a="1"/>
  <c r="G376" i="3" a="1"/>
  <c r="G372" i="3" a="1"/>
  <c r="G242" i="3" a="1"/>
  <c r="G246" i="3" a="1"/>
  <c r="G245" i="3" a="1"/>
  <c r="G244" i="3" a="1"/>
  <c r="G243" i="3" a="1"/>
  <c r="G69" i="3" l="1"/>
  <c r="G70" i="3"/>
  <c r="G71" i="3"/>
  <c r="G67" i="3"/>
  <c r="G68" i="3"/>
  <c r="G74" i="3"/>
  <c r="G75" i="3"/>
  <c r="G76" i="3"/>
  <c r="G72" i="3"/>
  <c r="G73" i="3"/>
  <c r="G229" i="3"/>
  <c r="G230" i="3"/>
  <c r="G231" i="3"/>
  <c r="G227" i="3"/>
  <c r="G228" i="3"/>
  <c r="G234" i="3"/>
  <c r="G235" i="3"/>
  <c r="G236" i="3"/>
  <c r="G232" i="3"/>
  <c r="G233" i="3"/>
  <c r="G360" i="3"/>
  <c r="G357" i="3"/>
  <c r="G361" i="3"/>
  <c r="G359" i="3"/>
  <c r="G358" i="3"/>
  <c r="G243" i="3"/>
  <c r="G244" i="3"/>
  <c r="G245" i="3"/>
  <c r="G246" i="3"/>
  <c r="G242" i="3"/>
  <c r="G372" i="3"/>
  <c r="G376" i="3"/>
  <c r="G373" i="3"/>
  <c r="G374" i="3"/>
  <c r="G375" i="3"/>
  <c r="G421" i="3"/>
  <c r="G417" i="3"/>
  <c r="G418" i="3"/>
  <c r="G419" i="3"/>
  <c r="G420" i="3"/>
  <c r="G119" i="3"/>
  <c r="G120" i="3"/>
  <c r="G121" i="3"/>
  <c r="G117" i="3"/>
  <c r="G118" i="3"/>
  <c r="G445" i="3"/>
  <c r="G446" i="3"/>
  <c r="G442" i="3"/>
  <c r="G443" i="3"/>
  <c r="G444" i="3"/>
  <c r="G151" i="3"/>
  <c r="G147" i="3"/>
  <c r="G148" i="3"/>
  <c r="G149" i="3"/>
  <c r="G150" i="3"/>
  <c r="G473" i="3"/>
  <c r="G474" i="3"/>
  <c r="G476" i="3"/>
  <c r="G475" i="3"/>
  <c r="G472" i="3"/>
  <c r="G64" i="3"/>
  <c r="G65" i="3"/>
  <c r="G66" i="3"/>
  <c r="G62" i="3"/>
  <c r="G63" i="3"/>
  <c r="G28" i="3"/>
  <c r="G29" i="3"/>
  <c r="G30" i="3"/>
  <c r="G27" i="3"/>
  <c r="G31" i="3"/>
  <c r="G330" i="3"/>
  <c r="G331" i="3"/>
  <c r="G327" i="3"/>
  <c r="G328" i="3"/>
  <c r="G329" i="3"/>
  <c r="G101" i="3"/>
  <c r="G97" i="3"/>
  <c r="G98" i="3"/>
  <c r="G99" i="3"/>
  <c r="G100" i="3"/>
  <c r="G78" i="3"/>
  <c r="G79" i="3"/>
  <c r="G80" i="3"/>
  <c r="G81" i="3"/>
  <c r="G77" i="3"/>
  <c r="G124" i="3"/>
  <c r="G125" i="3"/>
  <c r="G126" i="3"/>
  <c r="G122" i="3"/>
  <c r="G123" i="3"/>
  <c r="G211" i="3"/>
  <c r="G207" i="3"/>
  <c r="G208" i="3"/>
  <c r="G209" i="3"/>
  <c r="G210" i="3"/>
  <c r="G256" i="3"/>
  <c r="G252" i="3"/>
  <c r="G253" i="3"/>
  <c r="G254" i="3"/>
  <c r="G255" i="3"/>
  <c r="G298" i="3"/>
  <c r="G299" i="3"/>
  <c r="G300" i="3"/>
  <c r="G301" i="3"/>
  <c r="G297" i="3"/>
  <c r="G383" i="3"/>
  <c r="G384" i="3"/>
  <c r="G385" i="3"/>
  <c r="G386" i="3"/>
  <c r="G382" i="3"/>
  <c r="G397" i="3"/>
  <c r="G398" i="3"/>
  <c r="G399" i="3"/>
  <c r="G400" i="3"/>
  <c r="G401" i="3"/>
  <c r="G348" i="3"/>
  <c r="G349" i="3"/>
  <c r="G347" i="3"/>
  <c r="G350" i="3"/>
  <c r="G351" i="3"/>
  <c r="G165" i="3"/>
  <c r="G166" i="3"/>
  <c r="G162" i="3"/>
  <c r="G163" i="3"/>
  <c r="G164" i="3"/>
  <c r="G482" i="3"/>
  <c r="G483" i="3"/>
  <c r="G486" i="3"/>
  <c r="G484" i="3"/>
  <c r="G485" i="3"/>
  <c r="G247" i="3"/>
  <c r="G248" i="3"/>
  <c r="G249" i="3"/>
  <c r="G250" i="3"/>
  <c r="G251" i="3"/>
  <c r="G156" i="3"/>
  <c r="G152" i="3"/>
  <c r="G153" i="3"/>
  <c r="G154" i="3"/>
  <c r="G155" i="3"/>
  <c r="G293" i="3"/>
  <c r="G294" i="3"/>
  <c r="G295" i="3"/>
  <c r="G292" i="3"/>
  <c r="G296" i="3"/>
  <c r="G18" i="3"/>
  <c r="G19" i="3"/>
  <c r="G20" i="3"/>
  <c r="G21" i="3"/>
  <c r="G17" i="3"/>
  <c r="G339" i="3"/>
  <c r="G340" i="3"/>
  <c r="G341" i="3"/>
  <c r="G337" i="3"/>
  <c r="G338" i="3"/>
  <c r="G106" i="3"/>
  <c r="G102" i="3"/>
  <c r="G103" i="3"/>
  <c r="G104" i="3"/>
  <c r="G105" i="3"/>
  <c r="G422" i="3"/>
  <c r="G423" i="3"/>
  <c r="G424" i="3"/>
  <c r="G425" i="3"/>
  <c r="G426" i="3"/>
  <c r="G270" i="3"/>
  <c r="G271" i="3"/>
  <c r="G267" i="3"/>
  <c r="G268" i="3"/>
  <c r="G269" i="3"/>
  <c r="G160" i="3"/>
  <c r="G161" i="3"/>
  <c r="G157" i="3"/>
  <c r="G158" i="3"/>
  <c r="G159" i="3"/>
  <c r="G115" i="3"/>
  <c r="G116" i="3"/>
  <c r="G112" i="3"/>
  <c r="G113" i="3"/>
  <c r="G114" i="3"/>
  <c r="G206" i="3"/>
  <c r="G202" i="3"/>
  <c r="G203" i="3"/>
  <c r="G204" i="3"/>
  <c r="G205" i="3"/>
  <c r="G188" i="3"/>
  <c r="G189" i="3"/>
  <c r="G190" i="3"/>
  <c r="G191" i="3"/>
  <c r="G187" i="3"/>
  <c r="G288" i="3"/>
  <c r="G289" i="3"/>
  <c r="G290" i="3"/>
  <c r="G291" i="3"/>
  <c r="G287" i="3"/>
  <c r="G14" i="3"/>
  <c r="G13" i="3"/>
  <c r="G15" i="3"/>
  <c r="G16" i="3"/>
  <c r="G12" i="3"/>
  <c r="G335" i="3"/>
  <c r="G336" i="3"/>
  <c r="G332" i="3"/>
  <c r="G333" i="3"/>
  <c r="G334" i="3"/>
  <c r="G60" i="3"/>
  <c r="G61" i="3"/>
  <c r="G57" i="3"/>
  <c r="G58" i="3"/>
  <c r="G59" i="3"/>
  <c r="G377" i="3"/>
  <c r="G378" i="3"/>
  <c r="G379" i="3"/>
  <c r="G380" i="3"/>
  <c r="G381" i="3"/>
  <c r="G142" i="3"/>
  <c r="G143" i="3"/>
  <c r="G144" i="3"/>
  <c r="G145" i="3"/>
  <c r="G146" i="3"/>
  <c r="G464" i="3"/>
  <c r="G465" i="3"/>
  <c r="G466" i="3"/>
  <c r="G462" i="3"/>
  <c r="G463" i="3"/>
  <c r="G307" i="3"/>
  <c r="G308" i="3"/>
  <c r="G309" i="3"/>
  <c r="G311" i="3"/>
  <c r="G310" i="3"/>
  <c r="G284" i="3"/>
  <c r="G285" i="3"/>
  <c r="G286" i="3"/>
  <c r="G282" i="3"/>
  <c r="G283" i="3"/>
  <c r="G51" i="3"/>
  <c r="G47" i="3"/>
  <c r="G48" i="3"/>
  <c r="G49" i="3"/>
  <c r="G50" i="3"/>
  <c r="G368" i="3"/>
  <c r="G369" i="3"/>
  <c r="G370" i="3"/>
  <c r="G371" i="3"/>
  <c r="G367" i="3"/>
  <c r="G96" i="3"/>
  <c r="G92" i="3"/>
  <c r="G93" i="3"/>
  <c r="G94" i="3"/>
  <c r="G95" i="3"/>
  <c r="G415" i="3"/>
  <c r="G416" i="3"/>
  <c r="G414" i="3"/>
  <c r="G412" i="3"/>
  <c r="G413" i="3"/>
  <c r="G138" i="3"/>
  <c r="G139" i="3"/>
  <c r="G140" i="3"/>
  <c r="G137" i="3"/>
  <c r="G141" i="3"/>
  <c r="G459" i="3"/>
  <c r="G460" i="3"/>
  <c r="G461" i="3"/>
  <c r="G457" i="3"/>
  <c r="G458" i="3"/>
  <c r="G224" i="3"/>
  <c r="G225" i="3"/>
  <c r="G226" i="3"/>
  <c r="G222" i="3"/>
  <c r="G223" i="3"/>
  <c r="G238" i="3"/>
  <c r="G239" i="3"/>
  <c r="G240" i="3"/>
  <c r="G241" i="3"/>
  <c r="G237" i="3"/>
  <c r="G279" i="3"/>
  <c r="G280" i="3"/>
  <c r="G281" i="3"/>
  <c r="G277" i="3"/>
  <c r="G278" i="3"/>
  <c r="G32" i="3"/>
  <c r="G33" i="3"/>
  <c r="G34" i="3"/>
  <c r="G35" i="3"/>
  <c r="G36" i="3"/>
  <c r="G197" i="3"/>
  <c r="G198" i="3"/>
  <c r="G199" i="3"/>
  <c r="G200" i="3"/>
  <c r="G201" i="3"/>
  <c r="G434" i="3"/>
  <c r="G435" i="3"/>
  <c r="G436" i="3"/>
  <c r="G432" i="3"/>
  <c r="G433" i="3"/>
  <c r="G2" i="3"/>
  <c r="G6" i="3"/>
  <c r="G3" i="3"/>
  <c r="G4" i="3"/>
  <c r="G5" i="3"/>
  <c r="G326" i="3"/>
  <c r="G322" i="3"/>
  <c r="G323" i="3"/>
  <c r="G324" i="3"/>
  <c r="G325" i="3"/>
  <c r="G87" i="3"/>
  <c r="G88" i="3"/>
  <c r="G89" i="3"/>
  <c r="G90" i="3"/>
  <c r="G91" i="3"/>
  <c r="G408" i="3"/>
  <c r="G409" i="3"/>
  <c r="G410" i="3"/>
  <c r="G411" i="3"/>
  <c r="G407" i="3"/>
  <c r="G133" i="3"/>
  <c r="G134" i="3"/>
  <c r="G135" i="3"/>
  <c r="G136" i="3"/>
  <c r="G132" i="3"/>
  <c r="G455" i="3"/>
  <c r="G456" i="3"/>
  <c r="G454" i="3"/>
  <c r="G452" i="3"/>
  <c r="G453" i="3"/>
  <c r="G179" i="3"/>
  <c r="G180" i="3"/>
  <c r="G181" i="3"/>
  <c r="G177" i="3"/>
  <c r="G178" i="3"/>
  <c r="G500" i="3"/>
  <c r="G501" i="3"/>
  <c r="G497" i="3"/>
  <c r="G498" i="3"/>
  <c r="G499" i="3"/>
  <c r="G266" i="3"/>
  <c r="G262" i="3"/>
  <c r="G263" i="3"/>
  <c r="G264" i="3"/>
  <c r="G265" i="3"/>
  <c r="G395" i="3"/>
  <c r="G396" i="3"/>
  <c r="G392" i="3"/>
  <c r="G393" i="3"/>
  <c r="G394" i="3"/>
  <c r="G427" i="3"/>
  <c r="G428" i="3"/>
  <c r="G429" i="3"/>
  <c r="G430" i="3"/>
  <c r="G431" i="3"/>
  <c r="G192" i="3"/>
  <c r="G193" i="3"/>
  <c r="G194" i="3"/>
  <c r="G195" i="3"/>
  <c r="G196" i="3"/>
  <c r="G321" i="3"/>
  <c r="G317" i="3"/>
  <c r="G318" i="3"/>
  <c r="G319" i="3"/>
  <c r="G320" i="3"/>
  <c r="G46" i="3"/>
  <c r="G42" i="3"/>
  <c r="G43" i="3"/>
  <c r="G44" i="3"/>
  <c r="G45" i="3"/>
  <c r="G364" i="3"/>
  <c r="G365" i="3"/>
  <c r="G362" i="3"/>
  <c r="G363" i="3"/>
  <c r="G366" i="3"/>
  <c r="G128" i="3"/>
  <c r="G129" i="3"/>
  <c r="G130" i="3"/>
  <c r="G131" i="3"/>
  <c r="G127" i="3"/>
  <c r="G450" i="3"/>
  <c r="G451" i="3"/>
  <c r="G447" i="3"/>
  <c r="G448" i="3"/>
  <c r="G449" i="3"/>
  <c r="G174" i="3"/>
  <c r="G175" i="3"/>
  <c r="G176" i="3"/>
  <c r="G172" i="3"/>
  <c r="G173" i="3"/>
  <c r="G496" i="3"/>
  <c r="G492" i="3"/>
  <c r="G493" i="3"/>
  <c r="G495" i="3"/>
  <c r="G494" i="3"/>
  <c r="G220" i="3"/>
  <c r="G221" i="3"/>
  <c r="G217" i="3"/>
  <c r="G218" i="3"/>
  <c r="G219" i="3"/>
  <c r="G468" i="3"/>
  <c r="G469" i="3"/>
  <c r="G470" i="3"/>
  <c r="G471" i="3"/>
  <c r="G467" i="3"/>
  <c r="G303" i="3"/>
  <c r="G304" i="3"/>
  <c r="G305" i="3"/>
  <c r="G302" i="3"/>
  <c r="G306" i="3"/>
  <c r="G110" i="3"/>
  <c r="G111" i="3"/>
  <c r="G107" i="3"/>
  <c r="G108" i="3"/>
  <c r="G109" i="3"/>
  <c r="G389" i="3"/>
  <c r="G390" i="3"/>
  <c r="G391" i="3"/>
  <c r="G388" i="3"/>
  <c r="G387" i="3"/>
  <c r="G316" i="3"/>
  <c r="G312" i="3"/>
  <c r="G313" i="3"/>
  <c r="G314" i="3"/>
  <c r="G315" i="3"/>
  <c r="G477" i="3"/>
  <c r="G478" i="3"/>
  <c r="G479" i="3"/>
  <c r="G480" i="3"/>
  <c r="G481" i="3"/>
  <c r="G10" i="3"/>
  <c r="G8" i="3"/>
  <c r="G9" i="3"/>
  <c r="G11" i="3"/>
  <c r="G7" i="3"/>
  <c r="G55" i="3"/>
  <c r="G56" i="3"/>
  <c r="G52" i="3"/>
  <c r="G53" i="3"/>
  <c r="G54" i="3"/>
  <c r="G183" i="3"/>
  <c r="G184" i="3"/>
  <c r="G185" i="3"/>
  <c r="G186" i="3"/>
  <c r="G182" i="3"/>
  <c r="G37" i="3"/>
  <c r="G38" i="3"/>
  <c r="G39" i="3"/>
  <c r="G40" i="3"/>
  <c r="G41" i="3"/>
  <c r="G83" i="3"/>
  <c r="G84" i="3"/>
  <c r="G85" i="3"/>
  <c r="G82" i="3"/>
  <c r="G86" i="3"/>
  <c r="G402" i="3"/>
  <c r="G403" i="3"/>
  <c r="G404" i="3"/>
  <c r="G405" i="3"/>
  <c r="G406" i="3"/>
  <c r="G170" i="3"/>
  <c r="G171" i="3"/>
  <c r="G167" i="3"/>
  <c r="G169" i="3"/>
  <c r="G168" i="3"/>
  <c r="G491" i="3"/>
  <c r="G487" i="3"/>
  <c r="G488" i="3"/>
  <c r="G489" i="3"/>
  <c r="G490" i="3"/>
  <c r="G215" i="3"/>
  <c r="G216" i="3"/>
  <c r="G212" i="3"/>
  <c r="G213" i="3"/>
  <c r="G214" i="3"/>
  <c r="G352" i="3"/>
  <c r="G356" i="3"/>
  <c r="G353" i="3"/>
  <c r="G354" i="3"/>
  <c r="G355" i="3"/>
  <c r="G261" i="3"/>
  <c r="G257" i="3"/>
  <c r="G258" i="3"/>
  <c r="G259" i="3"/>
  <c r="G260" i="3"/>
  <c r="G23" i="3"/>
  <c r="G24" i="3"/>
  <c r="G25" i="3"/>
  <c r="G26" i="3"/>
  <c r="G22" i="3"/>
  <c r="G344" i="3"/>
  <c r="G345" i="3"/>
  <c r="G342" i="3"/>
  <c r="G343" i="3"/>
  <c r="G346" i="3"/>
  <c r="G275" i="3"/>
  <c r="G276" i="3"/>
  <c r="G272" i="3"/>
  <c r="G273" i="3"/>
  <c r="G274" i="3"/>
  <c r="G440" i="3"/>
  <c r="G441" i="3"/>
  <c r="G437" i="3"/>
  <c r="G439" i="3"/>
  <c r="G438" i="3"/>
  <c r="D522" i="3"/>
  <c r="E522" i="3"/>
  <c r="D778" i="3"/>
  <c r="E778" i="3"/>
  <c r="D742" i="3"/>
  <c r="E742" i="3"/>
  <c r="D624" i="3"/>
  <c r="E624" i="3"/>
  <c r="D510" i="3"/>
  <c r="E510" i="3"/>
  <c r="D604" i="3"/>
  <c r="E604" i="3"/>
  <c r="D658" i="3"/>
  <c r="E658" i="3"/>
  <c r="D636" i="3"/>
  <c r="E636" i="3"/>
  <c r="D642" i="3"/>
  <c r="E642" i="3"/>
  <c r="D738" i="3"/>
  <c r="E738" i="3"/>
  <c r="D580" i="3"/>
  <c r="E580" i="3"/>
  <c r="D574" i="3"/>
  <c r="E574" i="3"/>
  <c r="D640" i="3"/>
  <c r="E640" i="3"/>
  <c r="D736" i="3"/>
  <c r="E736" i="3"/>
  <c r="D582" i="3"/>
  <c r="E582" i="3"/>
  <c r="D622" i="3"/>
  <c r="E622" i="3"/>
  <c r="D564" i="3"/>
  <c r="E564" i="3"/>
  <c r="D600" i="3"/>
  <c r="E600" i="3"/>
  <c r="D670" i="3"/>
  <c r="E670" i="3"/>
  <c r="D652" i="3"/>
  <c r="E652" i="3"/>
  <c r="D748" i="3"/>
  <c r="E748" i="3"/>
  <c r="D538" i="3"/>
  <c r="E538" i="3"/>
  <c r="D576" i="3"/>
  <c r="E576" i="3"/>
  <c r="D784" i="3"/>
  <c r="E784" i="3"/>
  <c r="D796" i="3"/>
  <c r="E796" i="3"/>
  <c r="D678" i="3"/>
  <c r="E678" i="3"/>
  <c r="D660" i="3"/>
  <c r="E660" i="3"/>
  <c r="D562" i="3"/>
  <c r="E562" i="3"/>
  <c r="D598" i="3"/>
  <c r="E598" i="3"/>
  <c r="D766" i="3"/>
  <c r="E766" i="3"/>
  <c r="D558" i="3"/>
  <c r="E558" i="3"/>
  <c r="D708" i="3"/>
  <c r="E708" i="3"/>
  <c r="M30" i="2"/>
  <c r="K672" i="3" s="1"/>
  <c r="D672" i="3"/>
  <c r="E672" i="3"/>
  <c r="D676" i="3"/>
  <c r="E676" i="3"/>
  <c r="D514" i="3"/>
  <c r="E514" i="3"/>
  <c r="D526" i="3"/>
  <c r="E526" i="3"/>
  <c r="D540" i="3"/>
  <c r="E540" i="3"/>
  <c r="D754" i="3"/>
  <c r="E754" i="3"/>
  <c r="D786" i="3"/>
  <c r="E786" i="3"/>
  <c r="D798" i="3"/>
  <c r="E798" i="3"/>
  <c r="D726" i="3"/>
  <c r="E726" i="3"/>
  <c r="D508" i="3"/>
  <c r="E508" i="3"/>
  <c r="D760" i="3"/>
  <c r="E760" i="3"/>
  <c r="D552" i="3"/>
  <c r="E552" i="3"/>
  <c r="D774" i="3"/>
  <c r="E774" i="3"/>
  <c r="D646" i="3"/>
  <c r="E646" i="3"/>
  <c r="D684" i="3"/>
  <c r="E684" i="3"/>
  <c r="D516" i="3"/>
  <c r="E516" i="3"/>
  <c r="D792" i="3"/>
  <c r="E792" i="3"/>
  <c r="D586" i="3"/>
  <c r="E586" i="3"/>
  <c r="D690" i="3"/>
  <c r="E690" i="3"/>
  <c r="D630" i="3"/>
  <c r="E630" i="3"/>
  <c r="D702" i="3"/>
  <c r="E702" i="3"/>
  <c r="D762" i="3"/>
  <c r="E762" i="3"/>
  <c r="D550" i="3"/>
  <c r="E550" i="3"/>
  <c r="D772" i="3"/>
  <c r="E772" i="3"/>
  <c r="D700" i="3"/>
  <c r="E700" i="3"/>
  <c r="E756" i="3"/>
  <c r="D648" i="3"/>
  <c r="E648" i="3"/>
  <c r="D528" i="3"/>
  <c r="E528" i="3"/>
  <c r="D546" i="3"/>
  <c r="E546" i="3"/>
  <c r="D502" i="3"/>
  <c r="E502" i="3"/>
  <c r="D696" i="3"/>
  <c r="E696" i="3"/>
  <c r="D588" i="3"/>
  <c r="E588" i="3"/>
  <c r="D688" i="3"/>
  <c r="E688" i="3"/>
  <c r="D628" i="3"/>
  <c r="E628" i="3"/>
  <c r="D570" i="3"/>
  <c r="E570" i="3"/>
  <c r="D606" i="3"/>
  <c r="E606" i="3"/>
  <c r="D616" i="3"/>
  <c r="E616" i="3"/>
  <c r="D714" i="3"/>
  <c r="E714" i="3"/>
  <c r="D610" i="3"/>
  <c r="E610" i="3"/>
  <c r="D694" i="3"/>
  <c r="E694" i="3"/>
  <c r="D720" i="3"/>
  <c r="E720" i="3"/>
  <c r="D724" i="3"/>
  <c r="E724" i="3"/>
  <c r="E768" i="3"/>
  <c r="D544" i="3"/>
  <c r="E544" i="3"/>
  <c r="D504" i="3"/>
  <c r="E504" i="3"/>
  <c r="D706" i="3"/>
  <c r="E706" i="3"/>
  <c r="D594" i="3"/>
  <c r="E594" i="3"/>
  <c r="D532" i="3"/>
  <c r="E532" i="3"/>
  <c r="D730" i="3"/>
  <c r="E730" i="3"/>
  <c r="D666" i="3"/>
  <c r="E666" i="3"/>
  <c r="D654" i="3"/>
  <c r="E654" i="3"/>
  <c r="D618" i="3"/>
  <c r="E618" i="3"/>
  <c r="D712" i="3"/>
  <c r="E712" i="3"/>
  <c r="D634" i="3"/>
  <c r="E634" i="3"/>
  <c r="D568" i="3"/>
  <c r="E568" i="3"/>
  <c r="D750" i="3"/>
  <c r="E750" i="3"/>
  <c r="D664" i="3"/>
  <c r="E664" i="3"/>
  <c r="D768" i="3"/>
  <c r="D718" i="3"/>
  <c r="E718" i="3"/>
  <c r="D682" i="3"/>
  <c r="E682" i="3"/>
  <c r="D556" i="3"/>
  <c r="E556" i="3"/>
  <c r="D592" i="3"/>
  <c r="E592" i="3"/>
  <c r="D534" i="3"/>
  <c r="E534" i="3"/>
  <c r="D732" i="3"/>
  <c r="E732" i="3"/>
  <c r="D612" i="3"/>
  <c r="E612" i="3"/>
  <c r="D520" i="3"/>
  <c r="E520" i="3"/>
  <c r="D780" i="3"/>
  <c r="E780" i="3"/>
  <c r="D744" i="3"/>
  <c r="E744" i="3"/>
  <c r="D756" i="3"/>
  <c r="G753" i="3"/>
  <c r="G752" i="3"/>
  <c r="G692" i="3"/>
  <c r="G689" i="3"/>
  <c r="G690" i="3"/>
  <c r="G688" i="3"/>
  <c r="G691" i="3"/>
  <c r="G693" i="3"/>
  <c r="G716" i="3"/>
  <c r="G713" i="3"/>
  <c r="G715" i="3"/>
  <c r="G717" i="3"/>
  <c r="G712" i="3"/>
  <c r="G714" i="3"/>
  <c r="G721" i="3"/>
  <c r="G720" i="3"/>
  <c r="G722" i="3"/>
  <c r="G718" i="3"/>
  <c r="G719" i="3"/>
  <c r="G723" i="3"/>
  <c r="G745" i="3"/>
  <c r="G743" i="3"/>
  <c r="G746" i="3"/>
  <c r="G744" i="3"/>
  <c r="G747" i="3"/>
  <c r="G742" i="3"/>
  <c r="G660" i="3"/>
  <c r="G663" i="3"/>
  <c r="G658" i="3"/>
  <c r="G659" i="3"/>
  <c r="G662" i="3"/>
  <c r="G661" i="3"/>
  <c r="G724" i="3"/>
  <c r="G729" i="3"/>
  <c r="G726" i="3"/>
  <c r="G727" i="3"/>
  <c r="G728" i="3"/>
  <c r="G725" i="3"/>
  <c r="G737" i="3"/>
  <c r="G740" i="3"/>
  <c r="G738" i="3"/>
  <c r="G741" i="3"/>
  <c r="G736" i="3"/>
  <c r="G739" i="3"/>
  <c r="G684" i="3"/>
  <c r="G683" i="3"/>
  <c r="G686" i="3"/>
  <c r="G682" i="3"/>
  <c r="G685" i="3"/>
  <c r="G687" i="3"/>
  <c r="G732" i="3"/>
  <c r="G731" i="3"/>
  <c r="G735" i="3"/>
  <c r="G733" i="3"/>
  <c r="G730" i="3"/>
  <c r="G734" i="3"/>
  <c r="G652" i="3"/>
  <c r="G655" i="3"/>
  <c r="G654" i="3"/>
  <c r="G657" i="3"/>
  <c r="G656" i="3"/>
  <c r="G653" i="3"/>
  <c r="G708" i="3"/>
  <c r="G710" i="3"/>
  <c r="G706" i="3"/>
  <c r="G711" i="3"/>
  <c r="G707" i="3"/>
  <c r="G709" i="3"/>
  <c r="G636" i="3"/>
  <c r="G639" i="3"/>
  <c r="G634" i="3"/>
  <c r="G635" i="3"/>
  <c r="G638" i="3"/>
  <c r="G637" i="3"/>
  <c r="G628" i="3"/>
  <c r="G631" i="3"/>
  <c r="G629" i="3"/>
  <c r="G632" i="3"/>
  <c r="G630" i="3"/>
  <c r="G633" i="3"/>
  <c r="G647" i="3"/>
  <c r="G650" i="3"/>
  <c r="G651" i="3"/>
  <c r="G646" i="3"/>
  <c r="G649" i="3"/>
  <c r="G648" i="3"/>
  <c r="G700" i="3"/>
  <c r="G705" i="3"/>
  <c r="G704" i="3"/>
  <c r="G701" i="3"/>
  <c r="G702" i="3"/>
  <c r="G703" i="3"/>
  <c r="G668" i="3"/>
  <c r="G666" i="3"/>
  <c r="G667" i="3"/>
  <c r="G665" i="3"/>
  <c r="G669" i="3"/>
  <c r="G664" i="3"/>
  <c r="G671" i="3"/>
  <c r="G674" i="3"/>
  <c r="G675" i="3"/>
  <c r="G670" i="3"/>
  <c r="G673" i="3"/>
  <c r="G672" i="3"/>
  <c r="G644" i="3"/>
  <c r="G642" i="3"/>
  <c r="G643" i="3"/>
  <c r="G641" i="3"/>
  <c r="G640" i="3"/>
  <c r="G645" i="3"/>
  <c r="G676" i="3"/>
  <c r="G678" i="3"/>
  <c r="G681" i="3"/>
  <c r="G679" i="3"/>
  <c r="G680" i="3"/>
  <c r="G677" i="3"/>
  <c r="G697" i="3"/>
  <c r="G694" i="3"/>
  <c r="G695" i="3"/>
  <c r="G699" i="3"/>
  <c r="G696" i="3"/>
  <c r="G698" i="3"/>
  <c r="G748" i="3"/>
  <c r="G751" i="3"/>
  <c r="G749" i="3"/>
  <c r="G750" i="3"/>
  <c r="G546" i="3"/>
  <c r="G544" i="3"/>
  <c r="G545" i="3"/>
  <c r="G547" i="3"/>
  <c r="G548" i="3"/>
  <c r="G549" i="3"/>
  <c r="G591" i="3"/>
  <c r="G590" i="3"/>
  <c r="G587" i="3"/>
  <c r="G588" i="3"/>
  <c r="G589" i="3"/>
  <c r="G586" i="3"/>
  <c r="G624" i="3"/>
  <c r="G622" i="3"/>
  <c r="G625" i="3"/>
  <c r="G623" i="3"/>
  <c r="G626" i="3"/>
  <c r="G599" i="3"/>
  <c r="G598" i="3"/>
  <c r="G602" i="3"/>
  <c r="G603" i="3"/>
  <c r="G600" i="3"/>
  <c r="G601" i="3"/>
  <c r="G535" i="3"/>
  <c r="G533" i="3"/>
  <c r="G536" i="3"/>
  <c r="G534" i="3"/>
  <c r="G537" i="3"/>
  <c r="G532" i="3"/>
  <c r="G567" i="3"/>
  <c r="G566" i="3"/>
  <c r="G562" i="3"/>
  <c r="G563" i="3"/>
  <c r="G564" i="3"/>
  <c r="G565" i="3"/>
  <c r="G511" i="3"/>
  <c r="G509" i="3"/>
  <c r="G512" i="3"/>
  <c r="G510" i="3"/>
  <c r="G513" i="3"/>
  <c r="G508" i="3"/>
  <c r="G575" i="3"/>
  <c r="G574" i="3"/>
  <c r="G576" i="3"/>
  <c r="G577" i="3"/>
  <c r="G578" i="3"/>
  <c r="G579" i="3"/>
  <c r="G621" i="3"/>
  <c r="G616" i="3"/>
  <c r="G619" i="3"/>
  <c r="G617" i="3"/>
  <c r="G620" i="3"/>
  <c r="G618" i="3"/>
  <c r="G503" i="3"/>
  <c r="G506" i="3"/>
  <c r="G504" i="3"/>
  <c r="G507" i="3"/>
  <c r="G502" i="3"/>
  <c r="G505" i="3"/>
  <c r="G522" i="3"/>
  <c r="G525" i="3"/>
  <c r="G520" i="3"/>
  <c r="G523" i="3"/>
  <c r="G521" i="3"/>
  <c r="G524" i="3"/>
  <c r="G613" i="3"/>
  <c r="G611" i="3"/>
  <c r="G614" i="3"/>
  <c r="G612" i="3"/>
  <c r="G615" i="3"/>
  <c r="G610" i="3"/>
  <c r="G559" i="3"/>
  <c r="G558" i="3"/>
  <c r="G561" i="3"/>
  <c r="G560" i="3"/>
  <c r="G556" i="3"/>
  <c r="G557" i="3"/>
  <c r="G527" i="3"/>
  <c r="G530" i="3"/>
  <c r="G528" i="3"/>
  <c r="G531" i="3"/>
  <c r="G526" i="3"/>
  <c r="G529" i="3"/>
  <c r="M43" i="2"/>
  <c r="K750" i="3" s="1"/>
  <c r="G551" i="3"/>
  <c r="G554" i="3"/>
  <c r="G552" i="3"/>
  <c r="G550" i="3"/>
  <c r="G553" i="3"/>
  <c r="G555" i="3"/>
  <c r="G592" i="3"/>
  <c r="G597" i="3"/>
  <c r="G593" i="3"/>
  <c r="G594" i="3"/>
  <c r="G595" i="3"/>
  <c r="G596" i="3"/>
  <c r="G607" i="3"/>
  <c r="G606" i="3"/>
  <c r="G608" i="3"/>
  <c r="G604" i="3"/>
  <c r="G605" i="3"/>
  <c r="G609" i="3"/>
  <c r="G583" i="3"/>
  <c r="G582" i="3"/>
  <c r="G584" i="3"/>
  <c r="G580" i="3"/>
  <c r="G585" i="3"/>
  <c r="G581" i="3"/>
  <c r="G569" i="3"/>
  <c r="G568" i="3"/>
  <c r="G570" i="3"/>
  <c r="G571" i="3"/>
  <c r="G572" i="3"/>
  <c r="G573" i="3"/>
  <c r="G543" i="3"/>
  <c r="G538" i="3"/>
  <c r="G542" i="3"/>
  <c r="G539" i="3"/>
  <c r="G540" i="3"/>
  <c r="G541" i="3"/>
  <c r="G519" i="3"/>
  <c r="G514" i="3"/>
  <c r="G517" i="3"/>
  <c r="G515" i="3"/>
  <c r="G518" i="3"/>
  <c r="G516" i="3"/>
  <c r="L93" i="1"/>
  <c r="K459" i="3" s="1"/>
  <c r="J457" i="3"/>
  <c r="N53" i="1"/>
  <c r="K260" i="3" s="1"/>
  <c r="J257" i="3"/>
  <c r="L55" i="1"/>
  <c r="K269" i="3" s="1"/>
  <c r="J267" i="3"/>
  <c r="N45" i="1"/>
  <c r="K220" i="3" s="1"/>
  <c r="J217" i="3"/>
  <c r="L40" i="1"/>
  <c r="K194" i="3" s="1"/>
  <c r="J192" i="3"/>
  <c r="N31" i="1"/>
  <c r="K150" i="3" s="1"/>
  <c r="J147" i="3"/>
  <c r="N3" i="1"/>
  <c r="K10" i="3" s="1"/>
  <c r="J7" i="3"/>
  <c r="N17" i="1"/>
  <c r="K80" i="3" s="1"/>
  <c r="J77" i="3"/>
  <c r="M22" i="2"/>
  <c r="K624" i="3" s="1"/>
  <c r="M47" i="2"/>
  <c r="K774" i="3" s="1"/>
  <c r="M31" i="2"/>
  <c r="K678" i="3" s="1"/>
  <c r="I55" i="1"/>
  <c r="J268" i="3" s="1"/>
  <c r="M8" i="2"/>
  <c r="K540" i="3" s="1"/>
  <c r="M11" i="2"/>
  <c r="K558" i="3" s="1"/>
  <c r="M24" i="2"/>
  <c r="K636" i="3" s="1"/>
  <c r="M32" i="2"/>
  <c r="K684" i="3" s="1"/>
  <c r="I45" i="2"/>
  <c r="N45" i="2" s="1"/>
  <c r="M45" i="2"/>
  <c r="K762" i="3" s="1"/>
  <c r="M48" i="2"/>
  <c r="K780" i="3" s="1"/>
  <c r="K50" i="2"/>
  <c r="I48" i="2"/>
  <c r="N48" i="2" s="1"/>
  <c r="M50" i="2"/>
  <c r="K792" i="3" s="1"/>
  <c r="I49" i="2"/>
  <c r="J49" i="2" s="1"/>
  <c r="J785" i="3" s="1"/>
  <c r="I51" i="2"/>
  <c r="N51" i="2" s="1"/>
  <c r="I44" i="2"/>
  <c r="N44" i="2" s="1"/>
  <c r="M49" i="2"/>
  <c r="K786" i="3" s="1"/>
  <c r="M51" i="2"/>
  <c r="K798" i="3" s="1"/>
  <c r="I46" i="2"/>
  <c r="N46" i="2" s="1"/>
  <c r="I47" i="2"/>
  <c r="N47" i="2" s="1"/>
  <c r="M25" i="2"/>
  <c r="K642" i="3" s="1"/>
  <c r="I33" i="2"/>
  <c r="N33" i="2" s="1"/>
  <c r="I32" i="2"/>
  <c r="N32" i="2" s="1"/>
  <c r="I43" i="2"/>
  <c r="N43" i="2" s="1"/>
  <c r="M33" i="2"/>
  <c r="K690" i="3" s="1"/>
  <c r="M26" i="2"/>
  <c r="K648" i="3" s="1"/>
  <c r="I25" i="2"/>
  <c r="J25" i="2" s="1"/>
  <c r="J641" i="3" s="1"/>
  <c r="M27" i="2"/>
  <c r="K654" i="3" s="1"/>
  <c r="I37" i="2"/>
  <c r="N37" i="2" s="1"/>
  <c r="M29" i="2"/>
  <c r="K666" i="3" s="1"/>
  <c r="M42" i="2"/>
  <c r="K744" i="3" s="1"/>
  <c r="I29" i="2"/>
  <c r="M23" i="2"/>
  <c r="K630" i="3" s="1"/>
  <c r="M39" i="2"/>
  <c r="K726" i="3" s="1"/>
  <c r="I42" i="2"/>
  <c r="J42" i="2" s="1"/>
  <c r="I38" i="2"/>
  <c r="N38" i="2" s="1"/>
  <c r="M34" i="2"/>
  <c r="K696" i="3" s="1"/>
  <c r="I23" i="2"/>
  <c r="N23" i="2" s="1"/>
  <c r="M35" i="2"/>
  <c r="K702" i="3" s="1"/>
  <c r="M28" i="2"/>
  <c r="K660" i="3" s="1"/>
  <c r="I30" i="2"/>
  <c r="I34" i="2"/>
  <c r="M36" i="2"/>
  <c r="K708" i="3" s="1"/>
  <c r="I40" i="2"/>
  <c r="J40" i="2" s="1"/>
  <c r="J731" i="3" s="1"/>
  <c r="I24" i="2"/>
  <c r="N24" i="2" s="1"/>
  <c r="I26" i="2"/>
  <c r="I27" i="2"/>
  <c r="I39" i="2"/>
  <c r="M37" i="2"/>
  <c r="K714" i="3" s="1"/>
  <c r="I36" i="2"/>
  <c r="N36" i="2" s="1"/>
  <c r="M41" i="2"/>
  <c r="K738" i="3" s="1"/>
  <c r="I41" i="2"/>
  <c r="N41" i="2" s="1"/>
  <c r="M40" i="2"/>
  <c r="K732" i="3" s="1"/>
  <c r="M3" i="2"/>
  <c r="K510" i="3" s="1"/>
  <c r="I35" i="2"/>
  <c r="I28" i="2"/>
  <c r="I31" i="2"/>
  <c r="M20" i="2"/>
  <c r="K612" i="3" s="1"/>
  <c r="M2" i="2"/>
  <c r="K504" i="3" s="1"/>
  <c r="I17" i="2"/>
  <c r="J17" i="2" s="1"/>
  <c r="J593" i="3" s="1"/>
  <c r="I5" i="2"/>
  <c r="I4" i="2"/>
  <c r="N4" i="2" s="1"/>
  <c r="I6" i="2"/>
  <c r="N6" i="2" s="1"/>
  <c r="I22" i="2"/>
  <c r="M5" i="2"/>
  <c r="K522" i="3" s="1"/>
  <c r="I19" i="2"/>
  <c r="M4" i="2"/>
  <c r="K516" i="3" s="1"/>
  <c r="M6" i="2"/>
  <c r="K528" i="3" s="1"/>
  <c r="M12" i="2"/>
  <c r="K564" i="3" s="1"/>
  <c r="M18" i="2"/>
  <c r="K600" i="3" s="1"/>
  <c r="M21" i="2"/>
  <c r="K618" i="3" s="1"/>
  <c r="I8" i="2"/>
  <c r="N8" i="2" s="1"/>
  <c r="I20" i="2"/>
  <c r="M17" i="2"/>
  <c r="K594" i="3" s="1"/>
  <c r="I18" i="2"/>
  <c r="N18" i="2" s="1"/>
  <c r="I14" i="2"/>
  <c r="N14" i="2" s="1"/>
  <c r="M7" i="2"/>
  <c r="K534" i="3" s="1"/>
  <c r="M10" i="2"/>
  <c r="K552" i="3" s="1"/>
  <c r="I13" i="2"/>
  <c r="I2" i="2"/>
  <c r="N2" i="2" s="1"/>
  <c r="I7" i="2"/>
  <c r="N7" i="2" s="1"/>
  <c r="I12" i="2"/>
  <c r="I3" i="2"/>
  <c r="N3" i="2" s="1"/>
  <c r="I11" i="2"/>
  <c r="N11" i="2" s="1"/>
  <c r="I16" i="2"/>
  <c r="J16" i="2" s="1"/>
  <c r="J587" i="3" s="1"/>
  <c r="M14" i="2"/>
  <c r="K576" i="3" s="1"/>
  <c r="I15" i="2"/>
  <c r="N15" i="2" s="1"/>
  <c r="M13" i="2"/>
  <c r="K570" i="3" s="1"/>
  <c r="I10" i="2"/>
  <c r="N10" i="2" s="1"/>
  <c r="M9" i="2"/>
  <c r="K546" i="3" s="1"/>
  <c r="I9" i="2"/>
  <c r="N9" i="2" s="1"/>
  <c r="M16" i="2"/>
  <c r="K588" i="3" s="1"/>
  <c r="M15" i="2"/>
  <c r="K582" i="3" s="1"/>
  <c r="M19" i="2"/>
  <c r="K606" i="3" s="1"/>
  <c r="I21" i="2"/>
  <c r="L96" i="1"/>
  <c r="K474" i="3" s="1"/>
  <c r="I101" i="1"/>
  <c r="J498" i="3" s="1"/>
  <c r="I77" i="1"/>
  <c r="J378" i="3" s="1"/>
  <c r="N92" i="1"/>
  <c r="K455" i="3" s="1"/>
  <c r="N81" i="1"/>
  <c r="K400" i="3" s="1"/>
  <c r="L79" i="1"/>
  <c r="K389" i="3" s="1"/>
  <c r="I98" i="1"/>
  <c r="J483" i="3" s="1"/>
  <c r="I80" i="1"/>
  <c r="J393" i="3" s="1"/>
  <c r="L97" i="1"/>
  <c r="K479" i="3" s="1"/>
  <c r="L51" i="1"/>
  <c r="K249" i="3" s="1"/>
  <c r="I40" i="1"/>
  <c r="I82" i="1"/>
  <c r="J403" i="3" s="1"/>
  <c r="I99" i="1"/>
  <c r="J488" i="3" s="1"/>
  <c r="I85" i="1"/>
  <c r="J418" i="3" s="1"/>
  <c r="I95" i="1"/>
  <c r="J468" i="3" s="1"/>
  <c r="N93" i="1"/>
  <c r="K460" i="3" s="1"/>
  <c r="I72" i="1"/>
  <c r="J353" i="3" s="1"/>
  <c r="N69" i="1"/>
  <c r="K340" i="3" s="1"/>
  <c r="I71" i="1"/>
  <c r="J348" i="3" s="1"/>
  <c r="I64" i="1"/>
  <c r="J313" i="3" s="1"/>
  <c r="I66" i="1"/>
  <c r="J323" i="3" s="1"/>
  <c r="N56" i="1"/>
  <c r="K275" i="3" s="1"/>
  <c r="I67" i="1"/>
  <c r="J328" i="3" s="1"/>
  <c r="N73" i="1"/>
  <c r="K360" i="3" s="1"/>
  <c r="L58" i="1"/>
  <c r="K284" i="3" s="1"/>
  <c r="I75" i="1"/>
  <c r="J368" i="3" s="1"/>
  <c r="L65" i="1"/>
  <c r="K319" i="3" s="1"/>
  <c r="L63" i="1"/>
  <c r="K309" i="3" s="1"/>
  <c r="L74" i="1"/>
  <c r="K364" i="3" s="1"/>
  <c r="L52" i="1"/>
  <c r="K254" i="3" s="1"/>
  <c r="N54" i="1"/>
  <c r="K265" i="3" s="1"/>
  <c r="I53" i="1"/>
  <c r="J258" i="3" s="1"/>
  <c r="L60" i="1"/>
  <c r="K294" i="3" s="1"/>
  <c r="L68" i="1"/>
  <c r="K334" i="3" s="1"/>
  <c r="N98" i="1"/>
  <c r="K485" i="3" s="1"/>
  <c r="I93" i="1"/>
  <c r="J458" i="3" s="1"/>
  <c r="L57" i="1"/>
  <c r="K279" i="3" s="1"/>
  <c r="I61" i="1"/>
  <c r="J298" i="3" s="1"/>
  <c r="N55" i="1"/>
  <c r="K270" i="3" s="1"/>
  <c r="L36" i="1"/>
  <c r="K174" i="3" s="1"/>
  <c r="L27" i="1"/>
  <c r="K129" i="3" s="1"/>
  <c r="I38" i="1"/>
  <c r="J183" i="3" s="1"/>
  <c r="I48" i="1"/>
  <c r="J233" i="3" s="1"/>
  <c r="L32" i="1"/>
  <c r="K154" i="3" s="1"/>
  <c r="N37" i="1"/>
  <c r="K180" i="3" s="1"/>
  <c r="L44" i="1"/>
  <c r="K214" i="3" s="1"/>
  <c r="N30" i="1"/>
  <c r="K145" i="3" s="1"/>
  <c r="L42" i="1"/>
  <c r="K204" i="3" s="1"/>
  <c r="I34" i="1"/>
  <c r="J163" i="3" s="1"/>
  <c r="I31" i="1"/>
  <c r="J148" i="3" s="1"/>
  <c r="N28" i="1"/>
  <c r="K135" i="3" s="1"/>
  <c r="L50" i="1"/>
  <c r="K244" i="3" s="1"/>
  <c r="N49" i="1"/>
  <c r="K240" i="3" s="1"/>
  <c r="N33" i="1"/>
  <c r="K160" i="3" s="1"/>
  <c r="L35" i="1"/>
  <c r="K169" i="3" s="1"/>
  <c r="N40" i="1"/>
  <c r="K195" i="3" s="1"/>
  <c r="L45" i="1"/>
  <c r="K219" i="3" s="1"/>
  <c r="N29" i="1"/>
  <c r="K140" i="3" s="1"/>
  <c r="I47" i="1"/>
  <c r="J228" i="3" s="1"/>
  <c r="N41" i="1"/>
  <c r="K200" i="3" s="1"/>
  <c r="L39" i="1"/>
  <c r="K189" i="3" s="1"/>
  <c r="L73" i="1"/>
  <c r="K359" i="3" s="1"/>
  <c r="L17" i="1"/>
  <c r="K79" i="3" s="1"/>
  <c r="I25" i="1"/>
  <c r="J118" i="3" s="1"/>
  <c r="I21" i="1"/>
  <c r="J98" i="3" s="1"/>
  <c r="L56" i="1"/>
  <c r="K274" i="3" s="1"/>
  <c r="N65" i="1"/>
  <c r="K320" i="3" s="1"/>
  <c r="I6" i="1"/>
  <c r="J23" i="3" s="1"/>
  <c r="I7" i="1"/>
  <c r="J28" i="3" s="1"/>
  <c r="I18" i="1"/>
  <c r="J83" i="3" s="1"/>
  <c r="N10" i="1"/>
  <c r="K45" i="3" s="1"/>
  <c r="I24" i="1"/>
  <c r="J113" i="3" s="1"/>
  <c r="L19" i="1"/>
  <c r="K89" i="3" s="1"/>
  <c r="L12" i="1"/>
  <c r="K54" i="3" s="1"/>
  <c r="I11" i="1"/>
  <c r="J48" i="3" s="1"/>
  <c r="I26" i="1"/>
  <c r="J123" i="3" s="1"/>
  <c r="I2" i="1"/>
  <c r="J3" i="3" s="1"/>
  <c r="L9" i="1"/>
  <c r="K39" i="3" s="1"/>
  <c r="L13" i="1"/>
  <c r="K59" i="3" s="1"/>
  <c r="I3" i="1"/>
  <c r="J8" i="3" s="1"/>
  <c r="L5" i="1"/>
  <c r="K19" i="3" s="1"/>
  <c r="L20" i="1"/>
  <c r="K94" i="3" s="1"/>
  <c r="I16" i="1"/>
  <c r="J73" i="3" s="1"/>
  <c r="I15" i="1"/>
  <c r="J68" i="3" s="1"/>
  <c r="N4" i="1"/>
  <c r="K15" i="3" s="1"/>
  <c r="N23" i="1"/>
  <c r="K110" i="3" s="1"/>
  <c r="I8" i="1"/>
  <c r="J33" i="3" s="1"/>
  <c r="L26" i="1"/>
  <c r="K124" i="3" s="1"/>
  <c r="N77" i="1"/>
  <c r="K380" i="3" s="1"/>
  <c r="N18" i="1"/>
  <c r="K85" i="3" s="1"/>
  <c r="I60" i="1"/>
  <c r="J293" i="3" s="1"/>
  <c r="L31" i="1"/>
  <c r="K149" i="3" s="1"/>
  <c r="I56" i="1"/>
  <c r="J273" i="3" s="1"/>
  <c r="N67" i="1"/>
  <c r="K330" i="3" s="1"/>
  <c r="I92" i="1"/>
  <c r="J453" i="3" s="1"/>
  <c r="N39" i="1"/>
  <c r="K190" i="3" s="1"/>
  <c r="N25" i="1"/>
  <c r="K120" i="3" s="1"/>
  <c r="L98" i="1"/>
  <c r="K484" i="3" s="1"/>
  <c r="L53" i="1"/>
  <c r="K259" i="3" s="1"/>
  <c r="L67" i="1"/>
  <c r="K329" i="3" s="1"/>
  <c r="L25" i="1"/>
  <c r="K119" i="3" s="1"/>
  <c r="N97" i="1"/>
  <c r="K480" i="3" s="1"/>
  <c r="O50" i="2"/>
  <c r="K793" i="3" s="1"/>
  <c r="I74" i="1"/>
  <c r="J363" i="3" s="1"/>
  <c r="I19" i="1"/>
  <c r="J88" i="3" s="1"/>
  <c r="N19" i="1"/>
  <c r="K90" i="3" s="1"/>
  <c r="I45" i="1"/>
  <c r="J218" i="3" s="1"/>
  <c r="I97" i="1"/>
  <c r="J478" i="3" s="1"/>
  <c r="N13" i="1"/>
  <c r="K60" i="3" s="1"/>
  <c r="I96" i="1"/>
  <c r="J473" i="3" s="1"/>
  <c r="N96" i="1"/>
  <c r="K475" i="3" s="1"/>
  <c r="I42" i="1"/>
  <c r="J203" i="3" s="1"/>
  <c r="N26" i="1"/>
  <c r="K125" i="3" s="1"/>
  <c r="L77" i="1"/>
  <c r="K379" i="3" s="1"/>
  <c r="L37" i="1"/>
  <c r="K179" i="3" s="1"/>
  <c r="I13" i="1"/>
  <c r="J58" i="3" s="1"/>
  <c r="I37" i="1"/>
  <c r="J178" i="3" s="1"/>
  <c r="N20" i="1"/>
  <c r="K95" i="3" s="1"/>
  <c r="I39" i="1"/>
  <c r="J188" i="3" s="1"/>
  <c r="L29" i="1"/>
  <c r="K139" i="3" s="1"/>
  <c r="L80" i="1"/>
  <c r="K394" i="3" s="1"/>
  <c r="I36" i="1"/>
  <c r="J173" i="3" s="1"/>
  <c r="N61" i="1"/>
  <c r="K300" i="3" s="1"/>
  <c r="N72" i="1"/>
  <c r="K355" i="3" s="1"/>
  <c r="L54" i="1"/>
  <c r="K264" i="3" s="1"/>
  <c r="N48" i="1"/>
  <c r="K235" i="3" s="1"/>
  <c r="L99" i="1"/>
  <c r="K489" i="3" s="1"/>
  <c r="L11" i="1"/>
  <c r="K49" i="3" s="1"/>
  <c r="I20" i="1"/>
  <c r="J93" i="3" s="1"/>
  <c r="N11" i="1"/>
  <c r="K50" i="3" s="1"/>
  <c r="L61" i="1"/>
  <c r="K299" i="3" s="1"/>
  <c r="L23" i="1"/>
  <c r="K109" i="3" s="1"/>
  <c r="L28" i="1"/>
  <c r="K134" i="3" s="1"/>
  <c r="N75" i="1"/>
  <c r="K370" i="3" s="1"/>
  <c r="L72" i="1"/>
  <c r="K354" i="3" s="1"/>
  <c r="N74" i="1"/>
  <c r="K365" i="3" s="1"/>
  <c r="N64" i="1"/>
  <c r="K315" i="3" s="1"/>
  <c r="N16" i="1"/>
  <c r="K75" i="3" s="1"/>
  <c r="L48" i="1"/>
  <c r="K234" i="3" s="1"/>
  <c r="I65" i="1"/>
  <c r="J318" i="3" s="1"/>
  <c r="I73" i="1"/>
  <c r="J358" i="3" s="1"/>
  <c r="N80" i="1"/>
  <c r="K395" i="3" s="1"/>
  <c r="N82" i="1"/>
  <c r="K405" i="3" s="1"/>
  <c r="L66" i="1"/>
  <c r="K324" i="3" s="1"/>
  <c r="L64" i="1"/>
  <c r="K314" i="3" s="1"/>
  <c r="L16" i="1"/>
  <c r="K74" i="3" s="1"/>
  <c r="N99" i="1"/>
  <c r="K490" i="3" s="1"/>
  <c r="N35" i="1"/>
  <c r="K170" i="3" s="1"/>
  <c r="N71" i="1"/>
  <c r="K350" i="3" s="1"/>
  <c r="N5" i="1"/>
  <c r="K20" i="3" s="1"/>
  <c r="N21" i="1"/>
  <c r="K100" i="3" s="1"/>
  <c r="I4" i="1"/>
  <c r="J13" i="3" s="1"/>
  <c r="N60" i="1"/>
  <c r="K295" i="3" s="1"/>
  <c r="L92" i="1"/>
  <c r="K454" i="3" s="1"/>
  <c r="I28" i="1"/>
  <c r="J133" i="3" s="1"/>
  <c r="N15" i="1"/>
  <c r="K70" i="3" s="1"/>
  <c r="L4" i="1"/>
  <c r="K14" i="3" s="1"/>
  <c r="I5" i="1"/>
  <c r="J18" i="3" s="1"/>
  <c r="L21" i="1"/>
  <c r="K99" i="3" s="1"/>
  <c r="I58" i="1"/>
  <c r="J283" i="3" s="1"/>
  <c r="I35" i="1"/>
  <c r="J168" i="3" s="1"/>
  <c r="N36" i="1"/>
  <c r="K175" i="3" s="1"/>
  <c r="L71" i="1"/>
  <c r="K349" i="3" s="1"/>
  <c r="N24" i="1"/>
  <c r="K115" i="3" s="1"/>
  <c r="I32" i="1"/>
  <c r="J153" i="3" s="1"/>
  <c r="L81" i="1"/>
  <c r="K399" i="3" s="1"/>
  <c r="I9" i="1"/>
  <c r="J38" i="3" s="1"/>
  <c r="L82" i="1"/>
  <c r="K404" i="3" s="1"/>
  <c r="L34" i="1"/>
  <c r="K164" i="3" s="1"/>
  <c r="N8" i="1"/>
  <c r="K35" i="3" s="1"/>
  <c r="I49" i="1"/>
  <c r="J238" i="3" s="1"/>
  <c r="I68" i="1"/>
  <c r="J333" i="3" s="1"/>
  <c r="L49" i="1"/>
  <c r="K239" i="3" s="1"/>
  <c r="N68" i="1"/>
  <c r="K335" i="3" s="1"/>
  <c r="L30" i="1"/>
  <c r="K144" i="3" s="1"/>
  <c r="I79" i="1"/>
  <c r="J388" i="3" s="1"/>
  <c r="I30" i="1"/>
  <c r="J143" i="3" s="1"/>
  <c r="N58" i="1"/>
  <c r="K285" i="3" s="1"/>
  <c r="N32" i="1"/>
  <c r="K155" i="3" s="1"/>
  <c r="N66" i="1"/>
  <c r="K325" i="3" s="1"/>
  <c r="L3" i="1"/>
  <c r="K9" i="3" s="1"/>
  <c r="L41" i="1"/>
  <c r="K199" i="3" s="1"/>
  <c r="N95" i="1"/>
  <c r="K470" i="3" s="1"/>
  <c r="I23" i="1"/>
  <c r="J108" i="3" s="1"/>
  <c r="L18" i="1"/>
  <c r="K84" i="3" s="1"/>
  <c r="N38" i="1"/>
  <c r="K185" i="3" s="1"/>
  <c r="L24" i="1"/>
  <c r="K114" i="3" s="1"/>
  <c r="I41" i="1"/>
  <c r="J198" i="3" s="1"/>
  <c r="I57" i="1"/>
  <c r="J278" i="3" s="1"/>
  <c r="I27" i="1"/>
  <c r="J128" i="3" s="1"/>
  <c r="I81" i="1"/>
  <c r="J398" i="3" s="1"/>
  <c r="N63" i="1"/>
  <c r="K310" i="3" s="1"/>
  <c r="I17" i="1"/>
  <c r="J78" i="3" s="1"/>
  <c r="N57" i="1"/>
  <c r="K280" i="3" s="1"/>
  <c r="N101" i="1"/>
  <c r="K500" i="3" s="1"/>
  <c r="I63" i="1"/>
  <c r="J308" i="3" s="1"/>
  <c r="I29" i="1"/>
  <c r="J138" i="3" s="1"/>
  <c r="L101" i="1"/>
  <c r="K499" i="3" s="1"/>
  <c r="L75" i="1"/>
  <c r="K369" i="3" s="1"/>
  <c r="L38" i="1"/>
  <c r="K184" i="3" s="1"/>
  <c r="N9" i="1"/>
  <c r="K40" i="3" s="1"/>
  <c r="L95" i="1"/>
  <c r="K469" i="3" s="1"/>
  <c r="L8" i="1"/>
  <c r="K34" i="3" s="1"/>
  <c r="L15" i="1"/>
  <c r="K69" i="3" s="1"/>
  <c r="N79" i="1"/>
  <c r="K390" i="3" s="1"/>
  <c r="N2" i="1"/>
  <c r="K5" i="3" s="1"/>
  <c r="I54" i="1"/>
  <c r="J263" i="3" s="1"/>
  <c r="L2" i="1"/>
  <c r="K4" i="3" s="1"/>
  <c r="L33" i="1"/>
  <c r="K159" i="3" s="1"/>
  <c r="I51" i="1"/>
  <c r="J248" i="3" s="1"/>
  <c r="L69" i="1"/>
  <c r="K339" i="3" s="1"/>
  <c r="N27" i="1"/>
  <c r="K130" i="3" s="1"/>
  <c r="I33" i="1"/>
  <c r="J158" i="3" s="1"/>
  <c r="L85" i="1"/>
  <c r="K419" i="3" s="1"/>
  <c r="I44" i="1"/>
  <c r="J213" i="3" s="1"/>
  <c r="N85" i="1"/>
  <c r="K420" i="3" s="1"/>
  <c r="I83" i="1"/>
  <c r="J408" i="3" s="1"/>
  <c r="L83" i="1"/>
  <c r="K409" i="3" s="1"/>
  <c r="N83" i="1"/>
  <c r="K410" i="3" s="1"/>
  <c r="N44" i="1"/>
  <c r="K215" i="3" s="1"/>
  <c r="N47" i="1"/>
  <c r="K230" i="3" s="1"/>
  <c r="I12" i="1"/>
  <c r="J53" i="3" s="1"/>
  <c r="I52" i="1"/>
  <c r="J253" i="3" s="1"/>
  <c r="N51" i="1"/>
  <c r="K250" i="3" s="1"/>
  <c r="L47" i="1"/>
  <c r="K229" i="3" s="1"/>
  <c r="I69" i="1"/>
  <c r="J338" i="3" s="1"/>
  <c r="N12" i="1"/>
  <c r="K55" i="3" s="1"/>
  <c r="N52" i="1"/>
  <c r="K255" i="3" s="1"/>
  <c r="I10" i="1"/>
  <c r="J43" i="3" s="1"/>
  <c r="L6" i="1"/>
  <c r="K24" i="3" s="1"/>
  <c r="N42" i="1"/>
  <c r="K205" i="3" s="1"/>
  <c r="N6" i="1"/>
  <c r="K25" i="3" s="1"/>
  <c r="I43" i="1"/>
  <c r="J208" i="3" s="1"/>
  <c r="N43" i="1"/>
  <c r="K210" i="3" s="1"/>
  <c r="L43" i="1"/>
  <c r="K209" i="3" s="1"/>
  <c r="N50" i="1"/>
  <c r="K245" i="3" s="1"/>
  <c r="N7" i="1"/>
  <c r="K30" i="3" s="1"/>
  <c r="L10" i="1"/>
  <c r="K44" i="3" s="1"/>
  <c r="L7" i="1"/>
  <c r="K29" i="3" s="1"/>
  <c r="I50" i="1"/>
  <c r="J243" i="3" s="1"/>
  <c r="N34" i="1"/>
  <c r="K165" i="3" s="1"/>
  <c r="I59" i="1"/>
  <c r="J288" i="3" s="1"/>
  <c r="N59" i="1"/>
  <c r="K290" i="3" s="1"/>
  <c r="L59" i="1"/>
  <c r="K289" i="3" s="1"/>
  <c r="L62" i="1"/>
  <c r="K304" i="3" s="1"/>
  <c r="N62" i="1"/>
  <c r="K305" i="3" s="1"/>
  <c r="I62" i="1"/>
  <c r="J303" i="3" s="1"/>
  <c r="L88" i="1"/>
  <c r="K434" i="3" s="1"/>
  <c r="N88" i="1"/>
  <c r="K435" i="3" s="1"/>
  <c r="I88" i="1"/>
  <c r="J433" i="3" s="1"/>
  <c r="L91" i="1"/>
  <c r="K449" i="3" s="1"/>
  <c r="I91" i="1"/>
  <c r="J448" i="3" s="1"/>
  <c r="N91" i="1"/>
  <c r="K450" i="3" s="1"/>
  <c r="L46" i="1"/>
  <c r="K224" i="3" s="1"/>
  <c r="N46" i="1"/>
  <c r="K225" i="3" s="1"/>
  <c r="I46" i="1"/>
  <c r="J223" i="3" s="1"/>
  <c r="N76" i="1"/>
  <c r="K375" i="3" s="1"/>
  <c r="I76" i="1"/>
  <c r="J373" i="3" s="1"/>
  <c r="L76" i="1"/>
  <c r="K374" i="3" s="1"/>
  <c r="L70" i="1"/>
  <c r="K344" i="3" s="1"/>
  <c r="I70" i="1"/>
  <c r="J343" i="3" s="1"/>
  <c r="N70" i="1"/>
  <c r="K345" i="3" s="1"/>
  <c r="L90" i="1"/>
  <c r="K444" i="3" s="1"/>
  <c r="N90" i="1"/>
  <c r="K445" i="3" s="1"/>
  <c r="I90" i="1"/>
  <c r="J443" i="3" s="1"/>
  <c r="L78" i="1"/>
  <c r="K384" i="3" s="1"/>
  <c r="I78" i="1"/>
  <c r="J383" i="3" s="1"/>
  <c r="N78" i="1"/>
  <c r="K385" i="3" s="1"/>
  <c r="I100" i="1"/>
  <c r="J493" i="3" s="1"/>
  <c r="N100" i="1"/>
  <c r="K495" i="3" s="1"/>
  <c r="L100" i="1"/>
  <c r="K494" i="3" s="1"/>
  <c r="L89" i="1"/>
  <c r="K439" i="3" s="1"/>
  <c r="I89" i="1"/>
  <c r="J438" i="3" s="1"/>
  <c r="N89" i="1"/>
  <c r="K440" i="3" s="1"/>
  <c r="I14" i="1"/>
  <c r="J63" i="3" s="1"/>
  <c r="L14" i="1"/>
  <c r="K64" i="3" s="1"/>
  <c r="N14" i="1"/>
  <c r="K65" i="3" s="1"/>
  <c r="L87" i="1"/>
  <c r="K429" i="3" s="1"/>
  <c r="I87" i="1"/>
  <c r="J428" i="3" s="1"/>
  <c r="N87" i="1"/>
  <c r="K430" i="3" s="1"/>
  <c r="N84" i="1"/>
  <c r="K415" i="3" s="1"/>
  <c r="I84" i="1"/>
  <c r="J413" i="3" s="1"/>
  <c r="L84" i="1"/>
  <c r="K414" i="3" s="1"/>
  <c r="I22" i="1"/>
  <c r="J103" i="3" s="1"/>
  <c r="L22" i="1"/>
  <c r="K104" i="3" s="1"/>
  <c r="N22" i="1"/>
  <c r="K105" i="3" s="1"/>
  <c r="L86" i="1"/>
  <c r="K424" i="3" s="1"/>
  <c r="N86" i="1"/>
  <c r="K425" i="3" s="1"/>
  <c r="I86" i="1"/>
  <c r="J423" i="3" s="1"/>
  <c r="L94" i="1"/>
  <c r="K464" i="3" s="1"/>
  <c r="I94" i="1"/>
  <c r="J463" i="3" s="1"/>
  <c r="N94" i="1"/>
  <c r="K465" i="3" s="1"/>
  <c r="N25" i="2" l="1"/>
  <c r="O25" i="2" s="1"/>
  <c r="K643" i="3" s="1"/>
  <c r="J4" i="2"/>
  <c r="J515" i="3" s="1"/>
  <c r="J36" i="2"/>
  <c r="J707" i="3" s="1"/>
  <c r="J55" i="1"/>
  <c r="O55" i="1" s="1"/>
  <c r="K271" i="3" s="1"/>
  <c r="K42" i="2"/>
  <c r="J743" i="3"/>
  <c r="J47" i="2"/>
  <c r="N40" i="2"/>
  <c r="O40" i="2" s="1"/>
  <c r="K733" i="3" s="1"/>
  <c r="J40" i="1"/>
  <c r="O40" i="1" s="1"/>
  <c r="K196" i="3" s="1"/>
  <c r="J193" i="3"/>
  <c r="J804" i="3" s="1"/>
  <c r="J44" i="2"/>
  <c r="J755" i="3" s="1"/>
  <c r="N49" i="2"/>
  <c r="O49" i="2" s="1"/>
  <c r="K787" i="3" s="1"/>
  <c r="J33" i="2"/>
  <c r="J689" i="3" s="1"/>
  <c r="J38" i="2"/>
  <c r="J719" i="3" s="1"/>
  <c r="J8" i="2"/>
  <c r="J539" i="3" s="1"/>
  <c r="J26" i="1"/>
  <c r="O26" i="1" s="1"/>
  <c r="K126" i="3" s="1"/>
  <c r="J48" i="2"/>
  <c r="K48" i="2" s="1"/>
  <c r="J38" i="1"/>
  <c r="O38" i="1" s="1"/>
  <c r="K186" i="3" s="1"/>
  <c r="N17" i="2"/>
  <c r="O17" i="2" s="1"/>
  <c r="K595" i="3" s="1"/>
  <c r="J75" i="1"/>
  <c r="O75" i="1" s="1"/>
  <c r="K371" i="3" s="1"/>
  <c r="J11" i="2"/>
  <c r="J2" i="2"/>
  <c r="J15" i="2"/>
  <c r="J581" i="3" s="1"/>
  <c r="J80" i="1"/>
  <c r="O80" i="1" s="1"/>
  <c r="K396" i="3" s="1"/>
  <c r="J3" i="2"/>
  <c r="O3" i="2" s="1"/>
  <c r="K511" i="3" s="1"/>
  <c r="N42" i="2"/>
  <c r="O42" i="2" s="1"/>
  <c r="K745" i="3" s="1"/>
  <c r="J6" i="2"/>
  <c r="J527" i="3" s="1"/>
  <c r="J64" i="1"/>
  <c r="O64" i="1" s="1"/>
  <c r="K316" i="3" s="1"/>
  <c r="J51" i="2"/>
  <c r="J797" i="3" s="1"/>
  <c r="J8" i="1"/>
  <c r="O8" i="1" s="1"/>
  <c r="K36" i="3" s="1"/>
  <c r="J37" i="2"/>
  <c r="J713" i="3" s="1"/>
  <c r="J32" i="2"/>
  <c r="J683" i="3" s="1"/>
  <c r="J9" i="2"/>
  <c r="J545" i="3" s="1"/>
  <c r="J24" i="2"/>
  <c r="J98" i="1"/>
  <c r="O98" i="1" s="1"/>
  <c r="K486" i="3" s="1"/>
  <c r="J14" i="2"/>
  <c r="J46" i="2"/>
  <c r="J767" i="3" s="1"/>
  <c r="J45" i="2"/>
  <c r="R50" i="2"/>
  <c r="K795" i="3" s="1"/>
  <c r="J23" i="2"/>
  <c r="N31" i="2"/>
  <c r="J31" i="2"/>
  <c r="J677" i="3" s="1"/>
  <c r="N28" i="2"/>
  <c r="J28" i="2"/>
  <c r="J659" i="3" s="1"/>
  <c r="J95" i="1"/>
  <c r="O95" i="1" s="1"/>
  <c r="K471" i="3" s="1"/>
  <c r="J67" i="1"/>
  <c r="O67" i="1" s="1"/>
  <c r="K331" i="3" s="1"/>
  <c r="N30" i="2"/>
  <c r="J30" i="2"/>
  <c r="J671" i="3" s="1"/>
  <c r="N29" i="2"/>
  <c r="J29" i="2"/>
  <c r="J665" i="3" s="1"/>
  <c r="J41" i="2"/>
  <c r="N35" i="2"/>
  <c r="J35" i="2"/>
  <c r="J701" i="3" s="1"/>
  <c r="J34" i="1"/>
  <c r="O34" i="1" s="1"/>
  <c r="K166" i="3" s="1"/>
  <c r="J43" i="2"/>
  <c r="O43" i="2" s="1"/>
  <c r="K751" i="3" s="1"/>
  <c r="N26" i="2"/>
  <c r="J26" i="2"/>
  <c r="J647" i="3" s="1"/>
  <c r="N34" i="2"/>
  <c r="J34" i="2"/>
  <c r="J695" i="3" s="1"/>
  <c r="N39" i="2"/>
  <c r="J39" i="2"/>
  <c r="J725" i="3" s="1"/>
  <c r="N27" i="2"/>
  <c r="J27" i="2"/>
  <c r="J653" i="3" s="1"/>
  <c r="N16" i="2"/>
  <c r="O16" i="2" s="1"/>
  <c r="K589" i="3" s="1"/>
  <c r="N22" i="2"/>
  <c r="J22" i="2"/>
  <c r="J623" i="3" s="1"/>
  <c r="N5" i="2"/>
  <c r="J5" i="2"/>
  <c r="J521" i="3" s="1"/>
  <c r="N20" i="2"/>
  <c r="J20" i="2"/>
  <c r="J611" i="3" s="1"/>
  <c r="J72" i="1"/>
  <c r="O72" i="1" s="1"/>
  <c r="K356" i="3" s="1"/>
  <c r="N19" i="2"/>
  <c r="J19" i="2"/>
  <c r="J605" i="3" s="1"/>
  <c r="J66" i="1"/>
  <c r="O66" i="1" s="1"/>
  <c r="K326" i="3" s="1"/>
  <c r="J48" i="1"/>
  <c r="O48" i="1" s="1"/>
  <c r="K236" i="3" s="1"/>
  <c r="J10" i="2"/>
  <c r="J551" i="3" s="1"/>
  <c r="J13" i="2"/>
  <c r="J569" i="3" s="1"/>
  <c r="N13" i="2"/>
  <c r="J18" i="2"/>
  <c r="J7" i="2"/>
  <c r="N21" i="2"/>
  <c r="J21" i="2"/>
  <c r="J617" i="3" s="1"/>
  <c r="N12" i="2"/>
  <c r="J12" i="2"/>
  <c r="J563" i="3" s="1"/>
  <c r="J94" i="1"/>
  <c r="O94" i="1" s="1"/>
  <c r="K466" i="3" s="1"/>
  <c r="J91" i="1"/>
  <c r="O91" i="1" s="1"/>
  <c r="K451" i="3" s="1"/>
  <c r="J84" i="1"/>
  <c r="O84" i="1" s="1"/>
  <c r="K416" i="3" s="1"/>
  <c r="J97" i="1"/>
  <c r="O97" i="1" s="1"/>
  <c r="K481" i="3" s="1"/>
  <c r="J78" i="1"/>
  <c r="O78" i="1" s="1"/>
  <c r="K386" i="3" s="1"/>
  <c r="J93" i="1"/>
  <c r="O93" i="1" s="1"/>
  <c r="K461" i="3" s="1"/>
  <c r="J85" i="1"/>
  <c r="O85" i="1" s="1"/>
  <c r="K421" i="3" s="1"/>
  <c r="J77" i="1"/>
  <c r="O77" i="1" s="1"/>
  <c r="K381" i="3" s="1"/>
  <c r="J86" i="1"/>
  <c r="O86" i="1" s="1"/>
  <c r="K426" i="3" s="1"/>
  <c r="J89" i="1"/>
  <c r="O89" i="1" s="1"/>
  <c r="K441" i="3" s="1"/>
  <c r="J90" i="1"/>
  <c r="O90" i="1" s="1"/>
  <c r="K446" i="3" s="1"/>
  <c r="J88" i="1"/>
  <c r="O88" i="1" s="1"/>
  <c r="K436" i="3" s="1"/>
  <c r="J87" i="1"/>
  <c r="O87" i="1" s="1"/>
  <c r="K431" i="3" s="1"/>
  <c r="J99" i="1"/>
  <c r="O99" i="1" s="1"/>
  <c r="K491" i="3" s="1"/>
  <c r="J101" i="1"/>
  <c r="O101" i="1" s="1"/>
  <c r="K501" i="3" s="1"/>
  <c r="J81" i="1"/>
  <c r="O81" i="1" s="1"/>
  <c r="K401" i="3" s="1"/>
  <c r="J92" i="1"/>
  <c r="O92" i="1" s="1"/>
  <c r="K456" i="3" s="1"/>
  <c r="J79" i="1"/>
  <c r="O79" i="1" s="1"/>
  <c r="K391" i="3" s="1"/>
  <c r="J100" i="1"/>
  <c r="O100" i="1" s="1"/>
  <c r="K496" i="3" s="1"/>
  <c r="J83" i="1"/>
  <c r="O83" i="1" s="1"/>
  <c r="K411" i="3" s="1"/>
  <c r="J96" i="1"/>
  <c r="O96" i="1" s="1"/>
  <c r="K476" i="3" s="1"/>
  <c r="J82" i="1"/>
  <c r="O82" i="1" s="1"/>
  <c r="K406" i="3" s="1"/>
  <c r="J52" i="1"/>
  <c r="O52" i="1" s="1"/>
  <c r="K256" i="3" s="1"/>
  <c r="J58" i="1"/>
  <c r="O58" i="1" s="1"/>
  <c r="K286" i="3" s="1"/>
  <c r="J56" i="1"/>
  <c r="O56" i="1" s="1"/>
  <c r="K276" i="3" s="1"/>
  <c r="J76" i="1"/>
  <c r="O76" i="1" s="1"/>
  <c r="K376" i="3" s="1"/>
  <c r="J63" i="1"/>
  <c r="O63" i="1" s="1"/>
  <c r="K311" i="3" s="1"/>
  <c r="J57" i="1"/>
  <c r="O57" i="1" s="1"/>
  <c r="K281" i="3" s="1"/>
  <c r="J60" i="1"/>
  <c r="O60" i="1" s="1"/>
  <c r="K296" i="3" s="1"/>
  <c r="J68" i="1"/>
  <c r="O68" i="1" s="1"/>
  <c r="K336" i="3" s="1"/>
  <c r="J61" i="1"/>
  <c r="O61" i="1" s="1"/>
  <c r="K301" i="3" s="1"/>
  <c r="J71" i="1"/>
  <c r="O71" i="1" s="1"/>
  <c r="K351" i="3" s="1"/>
  <c r="J59" i="1"/>
  <c r="O59" i="1" s="1"/>
  <c r="K291" i="3" s="1"/>
  <c r="J54" i="1"/>
  <c r="O54" i="1" s="1"/>
  <c r="K266" i="3" s="1"/>
  <c r="J73" i="1"/>
  <c r="O73" i="1" s="1"/>
  <c r="K361" i="3" s="1"/>
  <c r="J62" i="1"/>
  <c r="O62" i="1" s="1"/>
  <c r="K306" i="3" s="1"/>
  <c r="J69" i="1"/>
  <c r="O69" i="1" s="1"/>
  <c r="K341" i="3" s="1"/>
  <c r="J70" i="1"/>
  <c r="O70" i="1" s="1"/>
  <c r="K346" i="3" s="1"/>
  <c r="J74" i="1"/>
  <c r="O74" i="1" s="1"/>
  <c r="K366" i="3" s="1"/>
  <c r="J53" i="1"/>
  <c r="O53" i="1" s="1"/>
  <c r="K261" i="3" s="1"/>
  <c r="J65" i="1"/>
  <c r="O65" i="1" s="1"/>
  <c r="K321" i="3" s="1"/>
  <c r="J44" i="1"/>
  <c r="O44" i="1" s="1"/>
  <c r="K216" i="3" s="1"/>
  <c r="J33" i="1"/>
  <c r="O33" i="1" s="1"/>
  <c r="K161" i="3" s="1"/>
  <c r="J32" i="1"/>
  <c r="O32" i="1" s="1"/>
  <c r="K156" i="3" s="1"/>
  <c r="J45" i="1"/>
  <c r="O45" i="1" s="1"/>
  <c r="K221" i="3" s="1"/>
  <c r="J41" i="1"/>
  <c r="O41" i="1" s="1"/>
  <c r="K201" i="3" s="1"/>
  <c r="J36" i="1"/>
  <c r="O36" i="1" s="1"/>
  <c r="K176" i="3" s="1"/>
  <c r="J49" i="1"/>
  <c r="O49" i="1" s="1"/>
  <c r="K241" i="3" s="1"/>
  <c r="J46" i="1"/>
  <c r="O46" i="1" s="1"/>
  <c r="K226" i="3" s="1"/>
  <c r="J43" i="1"/>
  <c r="O43" i="1" s="1"/>
  <c r="K211" i="3" s="1"/>
  <c r="J50" i="1"/>
  <c r="O50" i="1" s="1"/>
  <c r="K246" i="3" s="1"/>
  <c r="J30" i="1"/>
  <c r="O30" i="1" s="1"/>
  <c r="K146" i="3" s="1"/>
  <c r="J28" i="1"/>
  <c r="O28" i="1" s="1"/>
  <c r="K136" i="3" s="1"/>
  <c r="J39" i="1"/>
  <c r="O39" i="1" s="1"/>
  <c r="K191" i="3" s="1"/>
  <c r="J42" i="1"/>
  <c r="O42" i="1" s="1"/>
  <c r="K206" i="3" s="1"/>
  <c r="J47" i="1"/>
  <c r="O47" i="1" s="1"/>
  <c r="K231" i="3" s="1"/>
  <c r="J51" i="1"/>
  <c r="O51" i="1" s="1"/>
  <c r="K251" i="3" s="1"/>
  <c r="J31" i="1"/>
  <c r="O31" i="1" s="1"/>
  <c r="K151" i="3" s="1"/>
  <c r="J35" i="1"/>
  <c r="O35" i="1" s="1"/>
  <c r="K171" i="3" s="1"/>
  <c r="J37" i="1"/>
  <c r="O37" i="1" s="1"/>
  <c r="K181" i="3" s="1"/>
  <c r="J29" i="1"/>
  <c r="O29" i="1" s="1"/>
  <c r="K141" i="3" s="1"/>
  <c r="J27" i="1"/>
  <c r="O27" i="1" s="1"/>
  <c r="K131" i="3" s="1"/>
  <c r="J7" i="1"/>
  <c r="O7" i="1" s="1"/>
  <c r="K31" i="3" s="1"/>
  <c r="J17" i="1"/>
  <c r="O17" i="1" s="1"/>
  <c r="K81" i="3" s="1"/>
  <c r="J18" i="1"/>
  <c r="O18" i="1" s="1"/>
  <c r="K86" i="3" s="1"/>
  <c r="J5" i="1"/>
  <c r="O5" i="1" s="1"/>
  <c r="K21" i="3" s="1"/>
  <c r="J2" i="1"/>
  <c r="O2" i="1" s="1"/>
  <c r="K6" i="3" s="1"/>
  <c r="J21" i="1"/>
  <c r="O21" i="1" s="1"/>
  <c r="K101" i="3" s="1"/>
  <c r="J12" i="1"/>
  <c r="O12" i="1" s="1"/>
  <c r="K56" i="3" s="1"/>
  <c r="J4" i="1"/>
  <c r="O4" i="1" s="1"/>
  <c r="K16" i="3" s="1"/>
  <c r="J13" i="1"/>
  <c r="O13" i="1" s="1"/>
  <c r="K61" i="3" s="1"/>
  <c r="J15" i="1"/>
  <c r="O15" i="1" s="1"/>
  <c r="K71" i="3" s="1"/>
  <c r="J3" i="1"/>
  <c r="O3" i="1" s="1"/>
  <c r="K11" i="3" s="1"/>
  <c r="J24" i="1"/>
  <c r="O24" i="1" s="1"/>
  <c r="K116" i="3" s="1"/>
  <c r="J6" i="1"/>
  <c r="O6" i="1" s="1"/>
  <c r="K26" i="3" s="1"/>
  <c r="J25" i="1"/>
  <c r="O25" i="1" s="1"/>
  <c r="K121" i="3" s="1"/>
  <c r="J19" i="1"/>
  <c r="O19" i="1" s="1"/>
  <c r="K91" i="3" s="1"/>
  <c r="J23" i="1"/>
  <c r="O23" i="1" s="1"/>
  <c r="K111" i="3" s="1"/>
  <c r="J22" i="1"/>
  <c r="O22" i="1" s="1"/>
  <c r="K106" i="3" s="1"/>
  <c r="J10" i="1"/>
  <c r="O10" i="1" s="1"/>
  <c r="K46" i="3" s="1"/>
  <c r="J9" i="1"/>
  <c r="O9" i="1" s="1"/>
  <c r="K41" i="3" s="1"/>
  <c r="J20" i="1"/>
  <c r="O20" i="1" s="1"/>
  <c r="K96" i="3" s="1"/>
  <c r="J16" i="1"/>
  <c r="O16" i="1" s="1"/>
  <c r="K76" i="3" s="1"/>
  <c r="J11" i="1"/>
  <c r="O11" i="1" s="1"/>
  <c r="K51" i="3" s="1"/>
  <c r="J14" i="1"/>
  <c r="O14" i="1" s="1"/>
  <c r="K66" i="3" s="1"/>
  <c r="K49" i="2"/>
  <c r="K36" i="2"/>
  <c r="K16" i="2"/>
  <c r="K40" i="2"/>
  <c r="K17" i="2"/>
  <c r="K25" i="2"/>
  <c r="K804" i="3" l="1"/>
  <c r="K4" i="2"/>
  <c r="O4" i="2"/>
  <c r="K517" i="3" s="1"/>
  <c r="O36" i="2"/>
  <c r="K709" i="3" s="1"/>
  <c r="O45" i="2"/>
  <c r="K763" i="3" s="1"/>
  <c r="J761" i="3"/>
  <c r="O48" i="2"/>
  <c r="K781" i="3" s="1"/>
  <c r="J779" i="3"/>
  <c r="K47" i="2"/>
  <c r="J773" i="3"/>
  <c r="K43" i="2"/>
  <c r="R43" i="2" s="1"/>
  <c r="K753" i="3" s="1"/>
  <c r="J749" i="3"/>
  <c r="O44" i="2"/>
  <c r="K757" i="3" s="1"/>
  <c r="O47" i="2"/>
  <c r="K775" i="3" s="1"/>
  <c r="K24" i="2"/>
  <c r="J635" i="3"/>
  <c r="K23" i="2"/>
  <c r="J629" i="3"/>
  <c r="K44" i="2"/>
  <c r="K41" i="2"/>
  <c r="J737" i="3"/>
  <c r="K7" i="2"/>
  <c r="J533" i="3"/>
  <c r="K18" i="2"/>
  <c r="J599" i="3"/>
  <c r="O2" i="2"/>
  <c r="K505" i="3" s="1"/>
  <c r="J503" i="3"/>
  <c r="K11" i="2"/>
  <c r="J557" i="3"/>
  <c r="K14" i="2"/>
  <c r="J575" i="3"/>
  <c r="K3" i="2"/>
  <c r="R3" i="2" s="1"/>
  <c r="K513" i="3" s="1"/>
  <c r="J509" i="3"/>
  <c r="O33" i="2"/>
  <c r="K691" i="3" s="1"/>
  <c r="K33" i="2"/>
  <c r="O51" i="2"/>
  <c r="K799" i="3" s="1"/>
  <c r="K38" i="2"/>
  <c r="K8" i="2"/>
  <c r="O38" i="2"/>
  <c r="K721" i="3" s="1"/>
  <c r="O8" i="2"/>
  <c r="K541" i="3" s="1"/>
  <c r="R42" i="2"/>
  <c r="K747" i="3" s="1"/>
  <c r="O32" i="2"/>
  <c r="K685" i="3" s="1"/>
  <c r="K6" i="2"/>
  <c r="O6" i="2"/>
  <c r="K529" i="3" s="1"/>
  <c r="K2" i="2"/>
  <c r="K45" i="2"/>
  <c r="K37" i="2"/>
  <c r="O37" i="2"/>
  <c r="K715" i="3" s="1"/>
  <c r="K15" i="2"/>
  <c r="K51" i="2"/>
  <c r="O11" i="2"/>
  <c r="K559" i="3" s="1"/>
  <c r="O15" i="2"/>
  <c r="K583" i="3" s="1"/>
  <c r="O46" i="2"/>
  <c r="K769" i="3" s="1"/>
  <c r="K32" i="2"/>
  <c r="K46" i="2"/>
  <c r="K9" i="2"/>
  <c r="O9" i="2"/>
  <c r="K547" i="3" s="1"/>
  <c r="O24" i="2"/>
  <c r="K637" i="3" s="1"/>
  <c r="O14" i="2"/>
  <c r="K577" i="3" s="1"/>
  <c r="O13" i="2"/>
  <c r="K571" i="3" s="1"/>
  <c r="O29" i="2"/>
  <c r="K667" i="3" s="1"/>
  <c r="K29" i="2"/>
  <c r="O28" i="2"/>
  <c r="K661" i="3" s="1"/>
  <c r="K28" i="2"/>
  <c r="O35" i="2"/>
  <c r="K703" i="3" s="1"/>
  <c r="K35" i="2"/>
  <c r="K26" i="2"/>
  <c r="O26" i="2"/>
  <c r="K649" i="3" s="1"/>
  <c r="O30" i="2"/>
  <c r="K673" i="3" s="1"/>
  <c r="K30" i="2"/>
  <c r="O31" i="2"/>
  <c r="K679" i="3" s="1"/>
  <c r="K31" i="2"/>
  <c r="O27" i="2"/>
  <c r="K655" i="3" s="1"/>
  <c r="K27" i="2"/>
  <c r="O23" i="2"/>
  <c r="K631" i="3" s="1"/>
  <c r="O39" i="2"/>
  <c r="K727" i="3" s="1"/>
  <c r="K39" i="2"/>
  <c r="K34" i="2"/>
  <c r="O34" i="2"/>
  <c r="K697" i="3" s="1"/>
  <c r="O41" i="2"/>
  <c r="K739" i="3" s="1"/>
  <c r="O18" i="2"/>
  <c r="K601" i="3" s="1"/>
  <c r="O21" i="2"/>
  <c r="K619" i="3" s="1"/>
  <c r="K21" i="2"/>
  <c r="K13" i="2"/>
  <c r="O20" i="2"/>
  <c r="K613" i="3" s="1"/>
  <c r="K20" i="2"/>
  <c r="K10" i="2"/>
  <c r="O10" i="2"/>
  <c r="K553" i="3" s="1"/>
  <c r="O5" i="2"/>
  <c r="K523" i="3" s="1"/>
  <c r="K5" i="2"/>
  <c r="K12" i="2"/>
  <c r="O12" i="2"/>
  <c r="K565" i="3" s="1"/>
  <c r="O22" i="2"/>
  <c r="K625" i="3" s="1"/>
  <c r="K22" i="2"/>
  <c r="O7" i="2"/>
  <c r="K535" i="3" s="1"/>
  <c r="O19" i="2"/>
  <c r="K607" i="3" s="1"/>
  <c r="K19" i="2"/>
  <c r="R25" i="2"/>
  <c r="K645" i="3" s="1"/>
  <c r="R40" i="2"/>
  <c r="K735" i="3" s="1"/>
  <c r="R16" i="2"/>
  <c r="K591" i="3" s="1"/>
  <c r="R17" i="2"/>
  <c r="K597" i="3" s="1"/>
  <c r="R49" i="2"/>
  <c r="K789" i="3" s="1"/>
  <c r="J805" i="3" l="1"/>
  <c r="J806" i="3" s="1"/>
  <c r="R4" i="2"/>
  <c r="K519" i="3" s="1"/>
  <c r="R36" i="2"/>
  <c r="K711" i="3" s="1"/>
  <c r="R45" i="2"/>
  <c r="K765" i="3" s="1"/>
  <c r="R44" i="2"/>
  <c r="K759" i="3" s="1"/>
  <c r="R2" i="2"/>
  <c r="K507" i="3" s="1"/>
  <c r="R33" i="2"/>
  <c r="K693" i="3" s="1"/>
  <c r="R48" i="2"/>
  <c r="K783" i="3" s="1"/>
  <c r="R51" i="2"/>
  <c r="K801" i="3" s="1"/>
  <c r="R38" i="2"/>
  <c r="K723" i="3" s="1"/>
  <c r="R47" i="2"/>
  <c r="K777" i="3" s="1"/>
  <c r="R6" i="2"/>
  <c r="K531" i="3" s="1"/>
  <c r="R32" i="2"/>
  <c r="K687" i="3" s="1"/>
  <c r="R14" i="2"/>
  <c r="K579" i="3" s="1"/>
  <c r="R15" i="2"/>
  <c r="K585" i="3" s="1"/>
  <c r="R37" i="2"/>
  <c r="K717" i="3" s="1"/>
  <c r="R8" i="2"/>
  <c r="K543" i="3" s="1"/>
  <c r="R46" i="2"/>
  <c r="K771" i="3" s="1"/>
  <c r="R35" i="2"/>
  <c r="K705" i="3" s="1"/>
  <c r="R11" i="2"/>
  <c r="K561" i="3" s="1"/>
  <c r="R9" i="2"/>
  <c r="K549" i="3" s="1"/>
  <c r="R24" i="2"/>
  <c r="K639" i="3" s="1"/>
  <c r="R13" i="2"/>
  <c r="K573" i="3" s="1"/>
  <c r="R28" i="2"/>
  <c r="K663" i="3" s="1"/>
  <c r="R18" i="2"/>
  <c r="K603" i="3" s="1"/>
  <c r="R27" i="2"/>
  <c r="K657" i="3" s="1"/>
  <c r="R30" i="2"/>
  <c r="K675" i="3" s="1"/>
  <c r="R29" i="2"/>
  <c r="K669" i="3" s="1"/>
  <c r="R5" i="2"/>
  <c r="K525" i="3" s="1"/>
  <c r="R7" i="2"/>
  <c r="K537" i="3" s="1"/>
  <c r="R21" i="2"/>
  <c r="K621" i="3" s="1"/>
  <c r="R39" i="2"/>
  <c r="K729" i="3" s="1"/>
  <c r="R31" i="2"/>
  <c r="K681" i="3" s="1"/>
  <c r="R34" i="2"/>
  <c r="K699" i="3" s="1"/>
  <c r="R26" i="2"/>
  <c r="K651" i="3" s="1"/>
  <c r="R23" i="2"/>
  <c r="K633" i="3" s="1"/>
  <c r="R41" i="2"/>
  <c r="K741" i="3" s="1"/>
  <c r="R20" i="2"/>
  <c r="K615" i="3" s="1"/>
  <c r="R12" i="2"/>
  <c r="K567" i="3" s="1"/>
  <c r="R10" i="2"/>
  <c r="K555" i="3" s="1"/>
  <c r="R22" i="2"/>
  <c r="K627" i="3" s="1"/>
  <c r="R19" i="2"/>
  <c r="K609" i="3" s="1"/>
  <c r="K805" i="3" l="1"/>
  <c r="K806" i="3" s="1"/>
  <c r="J80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<sst xmlns="http://schemas.openxmlformats.org/spreadsheetml/2006/main" count="433" uniqueCount="312">
  <si>
    <t>ID_Factura</t>
  </si>
  <si>
    <t>Fecha_Emision</t>
  </si>
  <si>
    <t>Proveedor</t>
  </si>
  <si>
    <t>Item_Descripcion</t>
  </si>
  <si>
    <t>Cantidad</t>
  </si>
  <si>
    <t>Valor_Unitario_Antes_de_IVA</t>
  </si>
  <si>
    <t>Subtotal</t>
  </si>
  <si>
    <t>IVA_19</t>
  </si>
  <si>
    <t>Valor_Total_Factura</t>
  </si>
  <si>
    <t>Tarifa_Retencion_Fuente</t>
  </si>
  <si>
    <t>Valor_ReteFuente</t>
  </si>
  <si>
    <t>Tarifa_ReteICA_Medellin</t>
  </si>
  <si>
    <t>Valor_ReteICA</t>
  </si>
  <si>
    <t>Neto_a_Pagar</t>
  </si>
  <si>
    <t>Aceros de la Montaña S.A.S.</t>
  </si>
  <si>
    <t>Ferretería Antioqueña Ltda.</t>
  </si>
  <si>
    <t>Distribuidora El Martillo de Oro S.A.S.</t>
  </si>
  <si>
    <t>Cementos y Materiales Paisa S.A.</t>
  </si>
  <si>
    <t>Herramientas Industriales Medellín S.A.S.</t>
  </si>
  <si>
    <t>Suministros Ferreteros La 80 Ltda.</t>
  </si>
  <si>
    <t>Pinturas y Acabados Aburrá S.A.S.</t>
  </si>
  <si>
    <t>Tornillería Nacional del Valle de Aburrá</t>
  </si>
  <si>
    <t>Hierros y Mallas Bello S.A.S.</t>
  </si>
  <si>
    <t>Tubos y Conexiones Envigado Ltda.</t>
  </si>
  <si>
    <t>El Constructor S.A.S.</t>
  </si>
  <si>
    <t>Ferromax Colombia S.A.S.</t>
  </si>
  <si>
    <t>Materiales La Estrella S.A.S.</t>
  </si>
  <si>
    <t>Distribuciones Itagüí Ferretera Ltda.</t>
  </si>
  <si>
    <t>Acabados y Construcción Poblado S.A.S.</t>
  </si>
  <si>
    <t>Llave de tubo 14"</t>
  </si>
  <si>
    <t>Destornillador de pala 1/4"</t>
  </si>
  <si>
    <t>Cemento blanco x 5 kg</t>
  </si>
  <si>
    <t>Arena de río - bulto</t>
  </si>
  <si>
    <t>Triturado 1/2" - bulto</t>
  </si>
  <si>
    <t>Bloque de concreto 10x20x40</t>
  </si>
  <si>
    <t>Ladrillo tolete macizo</t>
  </si>
  <si>
    <t>Teja eternit ondulada No. 6</t>
  </si>
  <si>
    <t>Lámina de drywall 1.22x2.44m</t>
  </si>
  <si>
    <t>Carretilla buggy reforzada</t>
  </si>
  <si>
    <t>Pala cuadrada con cabo</t>
  </si>
  <si>
    <t>Guantes de carnaza par</t>
  </si>
  <si>
    <t>Casco de seguridad industrial</t>
  </si>
  <si>
    <t>Sierra circular 7-1/4" 1500W</t>
  </si>
  <si>
    <t>Esmeril angular 4-1/2" 850W</t>
  </si>
  <si>
    <t>AUX_Proveedores</t>
  </si>
  <si>
    <t>ID_Gasto</t>
  </si>
  <si>
    <t>Fecha</t>
  </si>
  <si>
    <t>Concepto_Gasto</t>
  </si>
  <si>
    <t>Tercero_Proveedor</t>
  </si>
  <si>
    <t>NIT_CC</t>
  </si>
  <si>
    <t>Tipo_Gasto</t>
  </si>
  <si>
    <t>Centro_Costo</t>
  </si>
  <si>
    <t>Base_Gravable</t>
  </si>
  <si>
    <t>Tarifa_IVA</t>
  </si>
  <si>
    <t>Valor_IVA</t>
  </si>
  <si>
    <t>Valor_Total</t>
  </si>
  <si>
    <t>Tarifa_ReteFuente</t>
  </si>
  <si>
    <t>Tarifa_ReteIVA</t>
  </si>
  <si>
    <t>Valor_ReteIVA</t>
  </si>
  <si>
    <t>Tarifa_ReteICA</t>
  </si>
  <si>
    <t>Forma_Pago</t>
  </si>
  <si>
    <t>Estado</t>
  </si>
  <si>
    <t>Arrendamiento local comercial</t>
  </si>
  <si>
    <t>Arrendamientos</t>
  </si>
  <si>
    <t>Servicio de energía eléctrica</t>
  </si>
  <si>
    <t>Servicios Públicos</t>
  </si>
  <si>
    <t>Servicio de acueducto y alcantarillado</t>
  </si>
  <si>
    <t>Servicio de gas natural</t>
  </si>
  <si>
    <t>Servicio de internet y telefonía</t>
  </si>
  <si>
    <t>Honorarios contables</t>
  </si>
  <si>
    <t>Honorarios</t>
  </si>
  <si>
    <t>Honorarios asesoría jurídica</t>
  </si>
  <si>
    <t>Honorarios revisoría fiscal</t>
  </si>
  <si>
    <t>Servicios de aseo y cafetería</t>
  </si>
  <si>
    <t>Servicios</t>
  </si>
  <si>
    <t>Servicio de vigilancia privada</t>
  </si>
  <si>
    <t>Mantenimiento equipos de cómputo</t>
  </si>
  <si>
    <t>Mantenimiento</t>
  </si>
  <si>
    <t>Mantenimiento locativo del local</t>
  </si>
  <si>
    <t>Papelería y útiles de oficina</t>
  </si>
  <si>
    <t>Suministros</t>
  </si>
  <si>
    <t>Tóner y suministros de impresora</t>
  </si>
  <si>
    <t>Software contable - licencia mensual</t>
  </si>
  <si>
    <t>Tecnología</t>
  </si>
  <si>
    <t>Plataforma facturación electrónica</t>
  </si>
  <si>
    <t>Publicidad redes sociales</t>
  </si>
  <si>
    <t>Publicidad</t>
  </si>
  <si>
    <t>Volantes y material POP impreso</t>
  </si>
  <si>
    <t>Capacitación personal en SST</t>
  </si>
  <si>
    <t>Capacitación</t>
  </si>
  <si>
    <t>Combustible vehículo de reparto</t>
  </si>
  <si>
    <t>Transporte</t>
  </si>
  <si>
    <t>Mantenimiento vehículo de reparto</t>
  </si>
  <si>
    <t>Peajes y parqueaderos</t>
  </si>
  <si>
    <t>Dotación uniformes empleados</t>
  </si>
  <si>
    <t>Personal</t>
  </si>
  <si>
    <t>Elementos de protección personal</t>
  </si>
  <si>
    <t>Servicio de courier y mensajería</t>
  </si>
  <si>
    <t>Pólizas de seguros comerciales</t>
  </si>
  <si>
    <t>Seguros</t>
  </si>
  <si>
    <t>Suscripción cámara de comercio</t>
  </si>
  <si>
    <t>Legales</t>
  </si>
  <si>
    <t>Servicios bancarios y comisiones</t>
  </si>
  <si>
    <t>Financieros</t>
  </si>
  <si>
    <t>Café, agua y refrigerios oficina</t>
  </si>
  <si>
    <t>Servicio de fumigación local</t>
  </si>
  <si>
    <t>AUX_Concepto</t>
  </si>
  <si>
    <t>AUX_Tipo</t>
  </si>
  <si>
    <t>AUX_TarifaRF</t>
  </si>
  <si>
    <t>Inmobiliaria El Poblado S.A.S.</t>
  </si>
  <si>
    <t>900456789-1</t>
  </si>
  <si>
    <t>EPM - Empresas Públicas de Medellín</t>
  </si>
  <si>
    <t>890904996-1</t>
  </si>
  <si>
    <t>Tigo UNE Telecomunicaciones S.A.</t>
  </si>
  <si>
    <t>830122566-1</t>
  </si>
  <si>
    <t>Claro Colombia Móvil S.A.</t>
  </si>
  <si>
    <t>830114921-1</t>
  </si>
  <si>
    <t>Contadores Asociados Antioquia S.A.S.</t>
  </si>
  <si>
    <t>901234567-2</t>
  </si>
  <si>
    <t>Bufete Jurídico Aburrá Ltda.</t>
  </si>
  <si>
    <t>901345678-3</t>
  </si>
  <si>
    <t>Aseo Total Medellín S.A.S.</t>
  </si>
  <si>
    <t>900567890-4</t>
  </si>
  <si>
    <t>Vigilancia Andina Seguridad Ltda.</t>
  </si>
  <si>
    <t>800678901-5</t>
  </si>
  <si>
    <t>TecnoSoporte Paisa S.A.S.</t>
  </si>
  <si>
    <t>901456789-6</t>
  </si>
  <si>
    <t>Constructora Mantenimientos Bello</t>
  </si>
  <si>
    <t>900789012-7</t>
  </si>
  <si>
    <t>Papelería La Candelaria S.A.S.</t>
  </si>
  <si>
    <t>890567123-8</t>
  </si>
  <si>
    <t>Software Contable Siigo S.A.</t>
  </si>
  <si>
    <t>830067335-9</t>
  </si>
  <si>
    <t>Facturación Electrónica Alegra S.A.S.</t>
  </si>
  <si>
    <t>900912345-0</t>
  </si>
  <si>
    <t>Agencia Digital Laureles S.A.S.</t>
  </si>
  <si>
    <t>901567890-1</t>
  </si>
  <si>
    <t>Imprenta Suramericana Ltda.</t>
  </si>
  <si>
    <t>890345678-2</t>
  </si>
  <si>
    <t>Centro de Capacitación SST Antioquia</t>
  </si>
  <si>
    <t>901678901-3</t>
  </si>
  <si>
    <t>EDS Texaco La 80</t>
  </si>
  <si>
    <t>800123456-4</t>
  </si>
  <si>
    <t>Taller Mecánico El Paisa Ltda.</t>
  </si>
  <si>
    <t>890456789-5</t>
  </si>
  <si>
    <t>Dotaciones Industriales Itagüí</t>
  </si>
  <si>
    <t>900234567-6</t>
  </si>
  <si>
    <t>Servientrega S.A.</t>
  </si>
  <si>
    <t>860512330-3</t>
  </si>
  <si>
    <t>Seguros Bolívar S.A.</t>
  </si>
  <si>
    <t>860002503-2</t>
  </si>
  <si>
    <t>Cámara de Comercio de Medellín</t>
  </si>
  <si>
    <t>890900672-1</t>
  </si>
  <si>
    <t>Bancolombia S.A.</t>
  </si>
  <si>
    <t>890903938-8</t>
  </si>
  <si>
    <t>Distribuidora Café Aburrá Ltda.</t>
  </si>
  <si>
    <t>901890123-7</t>
  </si>
  <si>
    <t>Fumigaciones Sanitarias Envigado</t>
  </si>
  <si>
    <t>901901234-8</t>
  </si>
  <si>
    <t>AUX_Proveedor</t>
  </si>
  <si>
    <t>AUX_NIT</t>
  </si>
  <si>
    <t>Administración</t>
  </si>
  <si>
    <t>Ventas</t>
  </si>
  <si>
    <t>Bodega</t>
  </si>
  <si>
    <t>Logística</t>
  </si>
  <si>
    <t>Gerencia</t>
  </si>
  <si>
    <t>AUX_CentroCosto</t>
  </si>
  <si>
    <t>AUX_FormaPago</t>
  </si>
  <si>
    <t>Transferencia</t>
  </si>
  <si>
    <t>Efectivo</t>
  </si>
  <si>
    <t>Tarjeta crédito</t>
  </si>
  <si>
    <t>AUX_Estado</t>
  </si>
  <si>
    <t>Pagado</t>
  </si>
  <si>
    <t>Pendiente</t>
  </si>
  <si>
    <t>No_Comprobante</t>
  </si>
  <si>
    <t>Tipo_Comprobante</t>
  </si>
  <si>
    <t>Cuenta_PUC</t>
  </si>
  <si>
    <t>Nombre_Cuenta</t>
  </si>
  <si>
    <t>Tercero</t>
  </si>
  <si>
    <t>Descripcion</t>
  </si>
  <si>
    <t>Debito</t>
  </si>
  <si>
    <t>Credito</t>
  </si>
  <si>
    <t>Origen_Documento</t>
  </si>
  <si>
    <t>TOTALES DE CONTROL</t>
  </si>
  <si>
    <t>Diferencia (debe ser $0):</t>
  </si>
  <si>
    <t>Mercancía (filas 2-501):</t>
  </si>
  <si>
    <t>Gastos Admin. (filas 502-801):</t>
  </si>
  <si>
    <t>TOTAL GENERAL:</t>
  </si>
  <si>
    <t>← Cuadre Partida Doble</t>
  </si>
  <si>
    <t>CÓDIGO PUC</t>
  </si>
  <si>
    <t>NOMBRE DE LA CUENTA</t>
  </si>
  <si>
    <t>CLASE</t>
  </si>
  <si>
    <t>NATURALEZA</t>
  </si>
  <si>
    <t>USO EN ESTA CONTABILIZACIÓN</t>
  </si>
  <si>
    <t>Mercancías no fabricadas por la empresa</t>
  </si>
  <si>
    <t>1 - Activo</t>
  </si>
  <si>
    <t>Débito</t>
  </si>
  <si>
    <t>Compra de inventario ferretero</t>
  </si>
  <si>
    <t>Proveedores nacionales</t>
  </si>
  <si>
    <t>2 - Pasivo</t>
  </si>
  <si>
    <t>Crédito</t>
  </si>
  <si>
    <t>Cuenta por pagar a proveedores de mercancía</t>
  </si>
  <si>
    <t>Costos y gastos por pagar</t>
  </si>
  <si>
    <t>Cuenta por pagar a terceros por gastos</t>
  </si>
  <si>
    <t>Retención en la fuente - Honorarios (11%)</t>
  </si>
  <si>
    <t>Honorarios contables, jurídicos, capacitación</t>
  </si>
  <si>
    <t>Retención en la fuente - Arrendamientos (3.5%)</t>
  </si>
  <si>
    <t>Arrendamientos y software</t>
  </si>
  <si>
    <t>Retención en la fuente - Servicios (4% / 2%)</t>
  </si>
  <si>
    <t>Servicios generales y vigilancia</t>
  </si>
  <si>
    <t>Retención en la fuente - Seguros (2.4%)</t>
  </si>
  <si>
    <t>Pólizas de seguros</t>
  </si>
  <si>
    <t>Retención en la fuente - Compras (2.5% / 3.5%)</t>
  </si>
  <si>
    <t>Compras generales y mercancía</t>
  </si>
  <si>
    <t>Retención en la fuente - Combustibles (0.1%)</t>
  </si>
  <si>
    <t>Combustible vehículos</t>
  </si>
  <si>
    <t>Retención IVA - Régimen común (15%)</t>
  </si>
  <si>
    <t>ReteIVA del 15% sobre el IVA causado</t>
  </si>
  <si>
    <t>Impuesto de Industria y Comercio Retenido</t>
  </si>
  <si>
    <t>ReteICA Medellín 11.04‰</t>
  </si>
  <si>
    <t>IVA Descontable - Compras (19%)</t>
  </si>
  <si>
    <t>IVA generado por compras de mercancía</t>
  </si>
  <si>
    <t>IVA Descontable - Servicios (19%)</t>
  </si>
  <si>
    <t>IVA generado por servicios y gastos</t>
  </si>
  <si>
    <t>Dotación y suministro a trabajadores</t>
  </si>
  <si>
    <t>5 - Gasto</t>
  </si>
  <si>
    <t>Dotación, EPP</t>
  </si>
  <si>
    <t>Capacitación al personal</t>
  </si>
  <si>
    <t>Capacitación SST</t>
  </si>
  <si>
    <t>Revisoría fiscal, asesoría jurídica, contabilidad</t>
  </si>
  <si>
    <t>Cámara de comercio, trámites</t>
  </si>
  <si>
    <t>Pólizas comerciales</t>
  </si>
  <si>
    <t>Servicios públicos</t>
  </si>
  <si>
    <t>Energía, agua, gas, internet</t>
  </si>
  <si>
    <t>Otros servicios / Transporte</t>
  </si>
  <si>
    <t>Aseo, vigilancia, courier, combustible, peajes</t>
  </si>
  <si>
    <t>Publicidad y propaganda</t>
  </si>
  <si>
    <t>(Reservada para gastos de venta)</t>
  </si>
  <si>
    <t>Mantenimiento y reparaciones</t>
  </si>
  <si>
    <t>Mantenimiento equipos y vehículos</t>
  </si>
  <si>
    <t>Sistematización</t>
  </si>
  <si>
    <t>Software contable, plataforma facturación</t>
  </si>
  <si>
    <t>Útiles, papelería y fotocopias</t>
  </si>
  <si>
    <t>Papelería, tóner, suministros</t>
  </si>
  <si>
    <t>Volantes, redes sociales</t>
  </si>
  <si>
    <t>Gastos bancarios</t>
  </si>
  <si>
    <t>Comisiones y servicios bancarios</t>
  </si>
  <si>
    <t>CENTROS DE COSTO</t>
  </si>
  <si>
    <t>CÓDIGO</t>
  </si>
  <si>
    <t>NOMBRE</t>
  </si>
  <si>
    <t>ÁREA</t>
  </si>
  <si>
    <t>RESPONSABLE (FICTICIO)</t>
  </si>
  <si>
    <t>ASIGNACIÓN</t>
  </si>
  <si>
    <t>CC-100</t>
  </si>
  <si>
    <t>Bodega Central</t>
  </si>
  <si>
    <t>Inventario</t>
  </si>
  <si>
    <t>Carlos Restrepo</t>
  </si>
  <si>
    <t>Compras de mercancía rotación 1/3</t>
  </si>
  <si>
    <t>CC-101</t>
  </si>
  <si>
    <t>Sucursal Centro</t>
  </si>
  <si>
    <t>Diana Vargas</t>
  </si>
  <si>
    <t>CC-102</t>
  </si>
  <si>
    <t>Sucursal Itagüí</t>
  </si>
  <si>
    <t>Andrés Mejía</t>
  </si>
  <si>
    <t>CC-201</t>
  </si>
  <si>
    <t>Operaciones</t>
  </si>
  <si>
    <t>Sandra Ospina</t>
  </si>
  <si>
    <t>Gastos generales administrativos</t>
  </si>
  <si>
    <t>CC-202</t>
  </si>
  <si>
    <t>Comercial</t>
  </si>
  <si>
    <t>Juan Pablo Gómez</t>
  </si>
  <si>
    <t>Gastos comerciales y publicidad</t>
  </si>
  <si>
    <t>CC-203</t>
  </si>
  <si>
    <t>Felipe Arango</t>
  </si>
  <si>
    <t>Gastos de almacenaje y suministros</t>
  </si>
  <si>
    <t>CC-204</t>
  </si>
  <si>
    <t>María Cardona</t>
  </si>
  <si>
    <t>Gastos de transporte y distribución</t>
  </si>
  <si>
    <t>CC-205</t>
  </si>
  <si>
    <t>Dirección</t>
  </si>
  <si>
    <t>Ricardo Henao</t>
  </si>
  <si>
    <t>Gastos directivos y representación</t>
  </si>
  <si>
    <t>TIPOS DE COMPROBANTE</t>
  </si>
  <si>
    <t>PREFIJO</t>
  </si>
  <si>
    <t>TIPO</t>
  </si>
  <si>
    <t>DESCRIPCIÓN</t>
  </si>
  <si>
    <t>RANGO USADO</t>
  </si>
  <si>
    <t>CC-MC-XXXX</t>
  </si>
  <si>
    <t>Causación Compra Mercancía</t>
  </si>
  <si>
    <t>Asiento de causación de facturas de mercancía</t>
  </si>
  <si>
    <t>CC-MC-1000 a CC-MC-1099</t>
  </si>
  <si>
    <t>CE-GA-XXXX</t>
  </si>
  <si>
    <t>Causación Egreso Gasto Admon.</t>
  </si>
  <si>
    <t>Asiento de causación de gastos administrativos</t>
  </si>
  <si>
    <t>CE-GA-5000 a CE-GA-5049</t>
  </si>
  <si>
    <t>NIT_Proveedor</t>
  </si>
  <si>
    <t>AUX_Prov_NIT</t>
  </si>
  <si>
    <t>900.123.456-1</t>
  </si>
  <si>
    <t>900.234.567-2</t>
  </si>
  <si>
    <t>900.345.678-3</t>
  </si>
  <si>
    <t>900.456.789-4</t>
  </si>
  <si>
    <t>900.567.890-5</t>
  </si>
  <si>
    <t>900.678.901-6</t>
  </si>
  <si>
    <t>900.789.012-7</t>
  </si>
  <si>
    <t>900.890.123-8</t>
  </si>
  <si>
    <t>900.901.234-9</t>
  </si>
  <si>
    <t>901.012.345-0</t>
  </si>
  <si>
    <t>901.123.456-1</t>
  </si>
  <si>
    <t>901.234.567-2</t>
  </si>
  <si>
    <t>901.345.678-3</t>
  </si>
  <si>
    <t>901.456.789-4</t>
  </si>
  <si>
    <t>901.567.890-5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</si>
</sst>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"/>
    <numFmt numFmtId="165" formatCode="&quot;$&quot;#,##0"/>
    <numFmt numFmtId="166" formatCode="0.0%"/>
    <numFmt numFmtId="167" formatCode="0.00000"/>
    <numFmt numFmtId="168" formatCode="&quot;$&quot;\ #,##0;[Red]&quot;$&quot;\ \-#,##0;&quot;&quot;"/>
    <numFmt numFmtId="169" formatCode="&quot;$&quot;\ #,##0;[Red]&quot;$&quot;\ 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2F8FC"/>
        <bgColor indexed="64"/>
      </patternFill>
    </fill>
    <fill>
      <patternFill patternType="solid">
        <fgColor rgb="FFFFFCF2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5B9BD5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double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8"/>
      </bottom>
      <diagonal/>
    </border>
    <border>
      <left style="thin">
        <color rgb="FFD9D9D9"/>
      </left>
      <right/>
      <top style="thin">
        <color rgb="FFD9D9D9"/>
      </top>
      <bottom style="double">
        <color rgb="FF1F4E78"/>
      </bottom>
      <diagonal/>
    </border>
  </borders>
  <cellStyleXfs count="1">
    <xf numFmtId="0" fontId="0" fillId="0" borderId="0"/>
  </cellStyleXfs>
  <cellXfs count="8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0" fontId="0" fillId="0" borderId="0" xfId="0" applyNumberFormat="1"/>
    <xf numFmtId="49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164" fontId="0" fillId="0" borderId="6" xfId="0" applyNumberFormat="1" applyBorder="1"/>
    <xf numFmtId="49" fontId="0" fillId="0" borderId="6" xfId="0" applyNumberFormat="1" applyBorder="1"/>
    <xf numFmtId="168" fontId="0" fillId="0" borderId="6" xfId="0" applyNumberFormat="1" applyBorder="1"/>
    <xf numFmtId="0" fontId="0" fillId="0" borderId="7" xfId="0" applyBorder="1"/>
    <xf numFmtId="0" fontId="0" fillId="4" borderId="5" xfId="0" applyFill="1" applyBorder="1"/>
    <xf numFmtId="0" fontId="0" fillId="4" borderId="6" xfId="0" applyFill="1" applyBorder="1"/>
    <xf numFmtId="164" fontId="0" fillId="4" borderId="6" xfId="0" applyNumberFormat="1" applyFill="1" applyBorder="1"/>
    <xf numFmtId="49" fontId="0" fillId="4" borderId="6" xfId="0" applyNumberFormat="1" applyFill="1" applyBorder="1"/>
    <xf numFmtId="168" fontId="0" fillId="4" borderId="6" xfId="0" applyNumberFormat="1" applyFill="1" applyBorder="1"/>
    <xf numFmtId="0" fontId="0" fillId="4" borderId="7" xfId="0" applyFill="1" applyBorder="1"/>
    <xf numFmtId="0" fontId="0" fillId="5" borderId="5" xfId="0" applyFill="1" applyBorder="1"/>
    <xf numFmtId="0" fontId="0" fillId="5" borderId="6" xfId="0" applyFill="1" applyBorder="1"/>
    <xf numFmtId="164" fontId="0" fillId="5" borderId="6" xfId="0" applyNumberFormat="1" applyFill="1" applyBorder="1"/>
    <xf numFmtId="168" fontId="0" fillId="5" borderId="6" xfId="0" applyNumberFormat="1" applyFill="1" applyBorder="1"/>
    <xf numFmtId="0" fontId="0" fillId="5" borderId="7" xfId="0" applyFill="1" applyBorder="1"/>
    <xf numFmtId="0" fontId="0" fillId="6" borderId="5" xfId="0" applyFill="1" applyBorder="1"/>
    <xf numFmtId="0" fontId="0" fillId="6" borderId="6" xfId="0" applyFill="1" applyBorder="1"/>
    <xf numFmtId="164" fontId="0" fillId="6" borderId="6" xfId="0" applyNumberFormat="1" applyFill="1" applyBorder="1"/>
    <xf numFmtId="168" fontId="0" fillId="6" borderId="6" xfId="0" applyNumberFormat="1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164" fontId="0" fillId="6" borderId="9" xfId="0" applyNumberFormat="1" applyFill="1" applyBorder="1"/>
    <xf numFmtId="168" fontId="0" fillId="6" borderId="9" xfId="0" applyNumberFormat="1" applyFill="1" applyBorder="1"/>
    <xf numFmtId="0" fontId="0" fillId="6" borderId="10" xfId="0" applyFill="1" applyBorder="1"/>
    <xf numFmtId="0" fontId="0" fillId="4" borderId="8" xfId="0" applyFill="1" applyBorder="1"/>
    <xf numFmtId="0" fontId="0" fillId="4" borderId="9" xfId="0" applyFill="1" applyBorder="1"/>
    <xf numFmtId="164" fontId="0" fillId="4" borderId="9" xfId="0" applyNumberFormat="1" applyFill="1" applyBorder="1"/>
    <xf numFmtId="49" fontId="0" fillId="4" borderId="9" xfId="0" applyNumberFormat="1" applyFill="1" applyBorder="1"/>
    <xf numFmtId="168" fontId="0" fillId="4" borderId="9" xfId="0" applyNumberFormat="1" applyFill="1" applyBorder="1"/>
    <xf numFmtId="0" fontId="0" fillId="4" borderId="10" xfId="0" applyFill="1" applyBorder="1"/>
    <xf numFmtId="0" fontId="0" fillId="5" borderId="2" xfId="0" applyFill="1" applyBorder="1"/>
    <xf numFmtId="0" fontId="0" fillId="5" borderId="3" xfId="0" applyFill="1" applyBorder="1"/>
    <xf numFmtId="164" fontId="0" fillId="5" borderId="3" xfId="0" applyNumberFormat="1" applyFill="1" applyBorder="1"/>
    <xf numFmtId="168" fontId="0" fillId="5" borderId="3" xfId="0" applyNumberFormat="1" applyFill="1" applyBorder="1"/>
    <xf numFmtId="0" fontId="0" fillId="5" borderId="4" xfId="0" applyFill="1" applyBorder="1"/>
    <xf numFmtId="0" fontId="0" fillId="4" borderId="11" xfId="0" applyFill="1" applyBorder="1"/>
    <xf numFmtId="0" fontId="0" fillId="4" borderId="12" xfId="0" applyFill="1" applyBorder="1"/>
    <xf numFmtId="164" fontId="0" fillId="4" borderId="12" xfId="0" applyNumberFormat="1" applyFill="1" applyBorder="1"/>
    <xf numFmtId="49" fontId="0" fillId="4" borderId="12" xfId="0" applyNumberFormat="1" applyFill="1" applyBorder="1"/>
    <xf numFmtId="168" fontId="0" fillId="4" borderId="12" xfId="0" applyNumberFormat="1" applyFill="1" applyBorder="1"/>
    <xf numFmtId="0" fontId="0" fillId="4" borderId="13" xfId="0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/>
    <xf numFmtId="0" fontId="1" fillId="7" borderId="0" xfId="0" applyFont="1" applyFill="1" applyAlignment="1">
      <alignment horizontal="right"/>
    </xf>
    <xf numFmtId="0" fontId="0" fillId="0" borderId="6" xfId="0" applyNumberFormat="1" applyBorder="1"/>
    <xf numFmtId="0" fontId="0" fillId="4" borderId="6" xfId="0" applyNumberFormat="1" applyFill="1" applyBorder="1"/>
    <xf numFmtId="0" fontId="0" fillId="4" borderId="9" xfId="0" applyNumberFormat="1" applyFill="1" applyBorder="1"/>
    <xf numFmtId="0" fontId="0" fillId="4" borderId="12" xfId="0" applyNumberFormat="1" applyFill="1" applyBorder="1"/>
    <xf numFmtId="0" fontId="0" fillId="5" borderId="3" xfId="0" applyNumberFormat="1" applyFill="1" applyBorder="1"/>
    <xf numFmtId="0" fontId="0" fillId="5" borderId="6" xfId="0" applyNumberFormat="1" applyFill="1" applyBorder="1"/>
    <xf numFmtId="0" fontId="0" fillId="6" borderId="6" xfId="0" applyNumberFormat="1" applyFill="1" applyBorder="1"/>
    <xf numFmtId="0" fontId="0" fillId="6" borderId="9" xfId="0" applyNumberFormat="1" applyFill="1" applyBorder="1"/>
    <xf numFmtId="169" fontId="1" fillId="7" borderId="0" xfId="0" applyNumberFormat="1" applyFont="1" applyFill="1"/>
    <xf numFmtId="0" fontId="1" fillId="8" borderId="0" xfId="0" applyFont="1" applyFill="1" applyAlignment="1">
      <alignment horizontal="right"/>
    </xf>
    <xf numFmtId="169" fontId="1" fillId="8" borderId="0" xfId="0" applyNumberFormat="1" applyFont="1" applyFill="1"/>
    <xf numFmtId="0" fontId="1" fillId="9" borderId="0" xfId="0" applyFont="1" applyFill="1" applyAlignment="1">
      <alignment horizontal="right"/>
    </xf>
    <xf numFmtId="169" fontId="1" fillId="9" borderId="0" xfId="0" applyNumberFormat="1" applyFont="1" applyFill="1"/>
    <xf numFmtId="49" fontId="1" fillId="9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/>
    <xf numFmtId="49" fontId="2" fillId="10" borderId="0" xfId="0" applyNumberFormat="1" applyFont="1" applyFill="1"/>
    <xf numFmtId="0" fontId="2" fillId="10" borderId="0" xfId="0" applyFont="1" applyFill="1"/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24BA-40DD-42E4-9DB8-9476DD84DFF6}">
  <dimension ref="A1:S101"/>
  <sheetViews>
    <sheetView tabSelected="1" workbookViewId="0">
      <pane ySplit="1" topLeftCell="A2" activePane="bottomLeft" state="frozen"/>
      <selection pane="bottomLeft" activeCell="A12" sqref="A12"/>
    </sheetView>
  </sheetViews>
  <sheetFormatPr baseColWidth="10" defaultRowHeight="14.5" x14ac:dyDescent="0.35"/>
  <cols>
    <col min="1" max="1" width="9.90625" bestFit="1" customWidth="1"/>
    <col min="2" max="2" width="13.453125" bestFit="1" customWidth="1"/>
    <col min="3" max="3" width="36.54296875" bestFit="1" customWidth="1"/>
    <col min="4" max="4" width="36.54296875" customWidth="1"/>
    <col min="5" max="5" width="33.90625" bestFit="1" customWidth="1"/>
    <col min="6" max="6" width="8.453125" bestFit="1" customWidth="1"/>
    <col min="7" max="7" width="26.7265625" bestFit="1" customWidth="1"/>
    <col min="9" max="9" width="9.90625" bestFit="1" customWidth="1"/>
    <col min="10" max="10" width="17.90625" bestFit="1" customWidth="1"/>
    <col min="11" max="11" width="22.453125" bestFit="1" customWidth="1"/>
    <col min="12" max="12" width="16.453125" bestFit="1" customWidth="1"/>
    <col min="13" max="13" width="22.453125" bestFit="1" customWidth="1"/>
    <col min="14" max="14" width="13.1796875" bestFit="1" customWidth="1"/>
    <col min="15" max="15" width="12.6328125" bestFit="1" customWidth="1"/>
    <col min="17" max="17" width="36.54296875" bestFit="1" customWidth="1"/>
    <col min="18" max="18" width="33.90625" bestFit="1" customWidth="1"/>
  </cols>
  <sheetData>
    <row r="1" spans="1:19" x14ac:dyDescent="0.35">
      <c r="A1" s="8" t="s">
        <v>0</v>
      </c>
      <c r="B1" s="8" t="s">
        <v>1</v>
      </c>
      <c r="C1" s="8" t="s">
        <v>2</v>
      </c>
      <c r="D1" s="8" t="s">
        <v>295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Q1" s="7" t="s">
        <v>44</v>
      </c>
      <c r="R1" s="7" t="s">
        <v>296</v>
      </c>
      <c r="S1" s="66" t="s">
        <v>160</v>
      </c>
    </row>
    <row r="2" spans="1:19" x14ac:dyDescent="0.35">
      <c r="A2" s="9" t="str">
        <f>"FE-"&amp;TEXT(1000+ROW()-1,"0000")</f>
        <v>FE-1001</v>
      </c>
      <c r="B2" s="10">
        <f ca="1">DATE(2026,1,1)+RANDBETWEEN(0,119)</f>
        <v>46048</v>
      </c>
      <c r="C2" s="9" t="str" cm="1">
        <f t="array" aca="1" ref="C2" ca="1">INDEX($Q$2:$Q$16,RANDBETWEEN(1,15))</f>
        <v>Tornillería Nacional del Valle de Aburrá</v>
      </c>
      <c r="D2" s="86" t="str">
        <f ca="1">VLOOKUP(C2,$R$2:$S$16,2,FALSE)</f>
        <v>900.890.123-8</v>
      </c>
      <c r="E2" s="9" t="str" cm="1">
        <f t="array" aca="1" ref="E2" ca="1">INDEX($R$2:$R$31,RANDBETWEEN(1,30))</f>
        <v>Ferretería Antioqueña Ltda.</v>
      </c>
      <c r="F2" s="11">
        <f ca="1">RANDBETWEEN(1,50)</f>
        <v>5</v>
      </c>
      <c r="G2" s="12">
        <f ca="1">MROUND(RANDBETWEEN(1500,850000),100)</f>
        <v>551700</v>
      </c>
      <c r="H2" s="12">
        <f ca="1">F2*G2</f>
        <v>2758500</v>
      </c>
      <c r="I2" s="12">
        <f ca="1">ROUND(H2*0.19,0)</f>
        <v>524115</v>
      </c>
      <c r="J2" s="12">
        <f ca="1">H2+I2</f>
        <v>3282615</v>
      </c>
      <c r="K2" s="13">
        <f ca="1">IF(RANDBETWEEN(0,1)=0,0.025,0.035)</f>
        <v>3.5000000000000003E-2</v>
      </c>
      <c r="L2" s="12">
        <f ca="1">ROUND(H2*K2,0)</f>
        <v>96548</v>
      </c>
      <c r="M2" s="14">
        <f>0.01104</f>
        <v>1.1039999999999999E-2</v>
      </c>
      <c r="N2" s="12">
        <f ca="1">ROUND(H2*M2,0)</f>
        <v>30454</v>
      </c>
      <c r="O2" s="12">
        <f ca="1">J2-L2-N2</f>
        <v>3155613</v>
      </c>
      <c r="Q2" t="s">
        <v>14</v>
      </c>
      <c r="R2" t="str">
        <f>Q2</f>
        <v>Aceros de la Montaña S.A.S.</v>
      </c>
      <c r="S2" t="s">
        <v>297</v>
      </c>
    </row>
    <row r="3" spans="1:19" x14ac:dyDescent="0.35">
      <c r="A3" s="9" t="str">
        <f>"FE-"&amp;TEXT(1000+ROW()-1,"0000")</f>
        <v>FE-1002</v>
      </c>
      <c r="B3" s="10">
        <f ca="1">DATE(2026,1,1)+RANDBETWEEN(0,119)</f>
        <v>46046</v>
      </c>
      <c r="C3" s="9" t="str" cm="1">
        <f t="array" aca="1" ref="C3" ca="1">INDEX($Q$2:$Q$16,RANDBETWEEN(1,15))</f>
        <v>Ferretería Antioqueña Ltda.</v>
      </c>
      <c r="D3" s="86" t="str">
        <f ca="1">VLOOKUP(C3,$R$2:$S$16,2,FALSE)</f>
        <v>900.234.567-2</v>
      </c>
      <c r="E3" s="9" t="str" cm="1">
        <f t="array" aca="1" ref="E3" ca="1">INDEX($R$2:$R$31,RANDBETWEEN(1,30))</f>
        <v>Lámina de drywall 1.22x2.44m</v>
      </c>
      <c r="F3" s="11">
        <f ca="1">RANDBETWEEN(1,50)</f>
        <v>9</v>
      </c>
      <c r="G3" s="12">
        <f ca="1">MROUND(RANDBETWEEN(1500,850000),100)</f>
        <v>301800</v>
      </c>
      <c r="H3" s="12">
        <f ca="1">F3*G3</f>
        <v>2716200</v>
      </c>
      <c r="I3" s="12">
        <f ca="1">ROUND(H3*0.19,0)</f>
        <v>516078</v>
      </c>
      <c r="J3" s="12">
        <f ca="1">H3+I3</f>
        <v>3232278</v>
      </c>
      <c r="K3" s="13">
        <f ca="1">IF(RANDBETWEEN(0,1)=0,0.025,0.035)</f>
        <v>2.5000000000000001E-2</v>
      </c>
      <c r="L3" s="12">
        <f ca="1">ROUND(H3*K3,0)</f>
        <v>67905</v>
      </c>
      <c r="M3" s="14">
        <f>0.01104</f>
        <v>1.1039999999999999E-2</v>
      </c>
      <c r="N3" s="12">
        <f ca="1">ROUND(H3*M3,0)</f>
        <v>29987</v>
      </c>
      <c r="O3" s="12">
        <f ca="1">J3-L3-N3</f>
        <v>3134386</v>
      </c>
      <c r="Q3" t="s">
        <v>15</v>
      </c>
      <c r="R3" t="str">
        <f>Q3</f>
        <v>Ferretería Antioqueña Ltda.</v>
      </c>
      <c r="S3" t="s">
        <v>298</v>
      </c>
    </row>
    <row r="4" spans="1:19" x14ac:dyDescent="0.35">
      <c r="A4" s="9" t="str">
        <f>"FE-"&amp;TEXT(1000+ROW()-1,"0000")</f>
        <v>FE-1003</v>
      </c>
      <c r="B4" s="10">
        <f ca="1">DATE(2026,1,1)+RANDBETWEEN(0,119)</f>
        <v>46066</v>
      </c>
      <c r="C4" s="9" t="str" cm="1">
        <f t="array" aca="1" ref="C4" ca="1">INDEX($Q$2:$Q$16,RANDBETWEEN(1,15))</f>
        <v>Hierros y Mallas Bello S.A.S.</v>
      </c>
      <c r="D4" s="86" t="str">
        <f ca="1">VLOOKUP(C4,$R$2:$S$16,2,FALSE)</f>
        <v>900.901.234-9</v>
      </c>
      <c r="E4" s="9" t="str" cm="1">
        <f t="array" aca="1" ref="E4" ca="1">INDEX($R$2:$R$31,RANDBETWEEN(1,30))</f>
        <v>Triturado 1/2" - bulto</v>
      </c>
      <c r="F4" s="11">
        <f ca="1">RANDBETWEEN(1,50)</f>
        <v>14</v>
      </c>
      <c r="G4" s="12">
        <f ca="1">MROUND(RANDBETWEEN(1500,850000),100)</f>
        <v>809100</v>
      </c>
      <c r="H4" s="12">
        <f ca="1">F4*G4</f>
        <v>11327400</v>
      </c>
      <c r="I4" s="12">
        <f ca="1">ROUND(H4*0.19,0)</f>
        <v>2152206</v>
      </c>
      <c r="J4" s="12">
        <f ca="1">H4+I4</f>
        <v>13479606</v>
      </c>
      <c r="K4" s="13">
        <f ca="1">IF(RANDBETWEEN(0,1)=0,0.025,0.035)</f>
        <v>2.5000000000000001E-2</v>
      </c>
      <c r="L4" s="12">
        <f ca="1">ROUND(H4*K4,0)</f>
        <v>283185</v>
      </c>
      <c r="M4" s="14">
        <f>0.01104</f>
        <v>1.1039999999999999E-2</v>
      </c>
      <c r="N4" s="12">
        <f ca="1">ROUND(H4*M4,0)</f>
        <v>125054</v>
      </c>
      <c r="O4" s="12">
        <f ca="1">J4-L4-N4</f>
        <v>13071367</v>
      </c>
      <c r="Q4" t="s">
        <v>16</v>
      </c>
      <c r="R4" t="str">
        <f>Q4</f>
        <v>Distribuidora El Martillo de Oro S.A.S.</v>
      </c>
      <c r="S4" t="s">
        <v>299</v>
      </c>
    </row>
    <row r="5" spans="1:19" x14ac:dyDescent="0.35">
      <c r="A5" s="9" t="str">
        <f>"FE-"&amp;TEXT(1000+ROW()-1,"0000")</f>
        <v>FE-1004</v>
      </c>
      <c r="B5" s="10">
        <f ca="1">DATE(2026,1,1)+RANDBETWEEN(0,119)</f>
        <v>46037</v>
      </c>
      <c r="C5" s="9" t="str" cm="1">
        <f t="array" aca="1" ref="C5" ca="1">INDEX($Q$2:$Q$16,RANDBETWEEN(1,15))</f>
        <v>Cementos y Materiales Paisa S.A.</v>
      </c>
      <c r="D5" s="86" t="str">
        <f ca="1">VLOOKUP(C5,$R$2:$S$16,2,FALSE)</f>
        <v>900.456.789-4</v>
      </c>
      <c r="E5" s="9" t="str" cm="1">
        <f t="array" aca="1" ref="E5" ca="1">INDEX($R$2:$R$31,RANDBETWEEN(1,30))</f>
        <v>Bloque de concreto 10x20x40</v>
      </c>
      <c r="F5" s="11">
        <f ca="1">RANDBETWEEN(1,50)</f>
        <v>25</v>
      </c>
      <c r="G5" s="12">
        <f ca="1">MROUND(RANDBETWEEN(1500,850000),100)</f>
        <v>205200</v>
      </c>
      <c r="H5" s="12">
        <f ca="1">F5*G5</f>
        <v>5130000</v>
      </c>
      <c r="I5" s="12">
        <f ca="1">ROUND(H5*0.19,0)</f>
        <v>974700</v>
      </c>
      <c r="J5" s="12">
        <f ca="1">H5+I5</f>
        <v>6104700</v>
      </c>
      <c r="K5" s="13">
        <f ca="1">IF(RANDBETWEEN(0,1)=0,0.025,0.035)</f>
        <v>2.5000000000000001E-2</v>
      </c>
      <c r="L5" s="12">
        <f ca="1">ROUND(H5*K5,0)</f>
        <v>128250</v>
      </c>
      <c r="M5" s="14">
        <f>0.01104</f>
        <v>1.1039999999999999E-2</v>
      </c>
      <c r="N5" s="12">
        <f ca="1">ROUND(H5*M5,0)</f>
        <v>56635</v>
      </c>
      <c r="O5" s="12">
        <f ca="1">J5-L5-N5</f>
        <v>5919815</v>
      </c>
      <c r="Q5" t="s">
        <v>17</v>
      </c>
      <c r="R5" t="str">
        <f>Q5</f>
        <v>Cementos y Materiales Paisa S.A.</v>
      </c>
      <c r="S5" t="s">
        <v>300</v>
      </c>
    </row>
    <row r="6" spans="1:19" x14ac:dyDescent="0.35">
      <c r="A6" s="9" t="str">
        <f>"FE-"&amp;TEXT(1000+ROW()-1,"0000")</f>
        <v>FE-1005</v>
      </c>
      <c r="B6" s="10">
        <f ca="1">DATE(2026,1,1)+RANDBETWEEN(0,119)</f>
        <v>46140</v>
      </c>
      <c r="C6" s="9" t="str" cm="1">
        <f t="array" aca="1" ref="C6" ca="1">INDEX($Q$2:$Q$16,RANDBETWEEN(1,15))</f>
        <v>Aceros de la Montaña S.A.S.</v>
      </c>
      <c r="D6" s="86" t="str">
        <f ca="1">VLOOKUP(C6,$R$2:$S$16,2,FALSE)</f>
        <v>900.123.456-1</v>
      </c>
      <c r="E6" s="9" t="str" cm="1">
        <f t="array" aca="1" ref="E6" ca="1">INDEX($R$2:$R$31,RANDBETWEEN(1,30))</f>
        <v>Herramientas Industriales Medellín S.A.S.</v>
      </c>
      <c r="F6" s="11">
        <f ca="1">RANDBETWEEN(1,50)</f>
        <v>41</v>
      </c>
      <c r="G6" s="12">
        <f ca="1">MROUND(RANDBETWEEN(1500,850000),100)</f>
        <v>586400</v>
      </c>
      <c r="H6" s="12">
        <f ca="1">F6*G6</f>
        <v>24042400</v>
      </c>
      <c r="I6" s="12">
        <f ca="1">ROUND(H6*0.19,0)</f>
        <v>4568056</v>
      </c>
      <c r="J6" s="12">
        <f ca="1">H6+I6</f>
        <v>28610456</v>
      </c>
      <c r="K6" s="13">
        <f ca="1">IF(RANDBETWEEN(0,1)=0,0.025,0.035)</f>
        <v>3.5000000000000003E-2</v>
      </c>
      <c r="L6" s="12">
        <f ca="1">ROUND(H6*K6,0)</f>
        <v>841484</v>
      </c>
      <c r="M6" s="14">
        <f>0.01104</f>
        <v>1.1039999999999999E-2</v>
      </c>
      <c r="N6" s="12">
        <f ca="1">ROUND(H6*M6,0)</f>
        <v>265428</v>
      </c>
      <c r="O6" s="12">
        <f ca="1">J6-L6-N6</f>
        <v>27503544</v>
      </c>
      <c r="Q6" t="s">
        <v>18</v>
      </c>
      <c r="R6" t="str">
        <f>Q6</f>
        <v>Herramientas Industriales Medellín S.A.S.</v>
      </c>
      <c r="S6" t="s">
        <v>301</v>
      </c>
    </row>
    <row r="7" spans="1:19" x14ac:dyDescent="0.35">
      <c r="A7" s="9" t="str">
        <f>"FE-"&amp;TEXT(1000+ROW()-1,"0000")</f>
        <v>FE-1006</v>
      </c>
      <c r="B7" s="10">
        <f ca="1">DATE(2026,1,1)+RANDBETWEEN(0,119)</f>
        <v>46025</v>
      </c>
      <c r="C7" s="9" t="str" cm="1">
        <f t="array" aca="1" ref="C7" ca="1">INDEX($Q$2:$Q$16,RANDBETWEEN(1,15))</f>
        <v>Pinturas y Acabados Aburrá S.A.S.</v>
      </c>
      <c r="D7" s="86" t="str">
        <f ca="1">VLOOKUP(C7,$R$2:$S$16,2,FALSE)</f>
        <v>900.789.012-7</v>
      </c>
      <c r="E7" s="9" t="str" cm="1">
        <f t="array" aca="1" ref="E7" ca="1">INDEX($R$2:$R$31,RANDBETWEEN(1,30))</f>
        <v>Herramientas Industriales Medellín S.A.S.</v>
      </c>
      <c r="F7" s="11">
        <f ca="1">RANDBETWEEN(1,50)</f>
        <v>28</v>
      </c>
      <c r="G7" s="12">
        <f ca="1">MROUND(RANDBETWEEN(1500,850000),100)</f>
        <v>335400</v>
      </c>
      <c r="H7" s="12">
        <f ca="1">F7*G7</f>
        <v>9391200</v>
      </c>
      <c r="I7" s="12">
        <f ca="1">ROUND(H7*0.19,0)</f>
        <v>1784328</v>
      </c>
      <c r="J7" s="12">
        <f ca="1">H7+I7</f>
        <v>11175528</v>
      </c>
      <c r="K7" s="13">
        <f ca="1">IF(RANDBETWEEN(0,1)=0,0.025,0.035)</f>
        <v>2.5000000000000001E-2</v>
      </c>
      <c r="L7" s="12">
        <f ca="1">ROUND(H7*K7,0)</f>
        <v>234780</v>
      </c>
      <c r="M7" s="14">
        <f>0.01104</f>
        <v>1.1039999999999999E-2</v>
      </c>
      <c r="N7" s="12">
        <f ca="1">ROUND(H7*M7,0)</f>
        <v>103679</v>
      </c>
      <c r="O7" s="12">
        <f ca="1">J7-L7-N7</f>
        <v>10837069</v>
      </c>
      <c r="Q7" t="s">
        <v>19</v>
      </c>
      <c r="R7" t="str">
        <f>Q7</f>
        <v>Suministros Ferreteros La 80 Ltda.</v>
      </c>
      <c r="S7" t="s">
        <v>302</v>
      </c>
    </row>
    <row r="8" spans="1:19" x14ac:dyDescent="0.35">
      <c r="A8" s="9" t="str">
        <f>"FE-"&amp;TEXT(1000+ROW()-1,"0000")</f>
        <v>FE-1007</v>
      </c>
      <c r="B8" s="10">
        <f ca="1">DATE(2026,1,1)+RANDBETWEEN(0,119)</f>
        <v>46120</v>
      </c>
      <c r="C8" s="9" t="str" cm="1">
        <f t="array" aca="1" ref="C8" ca="1">INDEX($Q$2:$Q$16,RANDBETWEEN(1,15))</f>
        <v>Tornillería Nacional del Valle de Aburrá</v>
      </c>
      <c r="D8" s="86" t="str">
        <f ca="1">VLOOKUP(C8,$R$2:$S$16,2,FALSE)</f>
        <v>900.890.123-8</v>
      </c>
      <c r="E8" s="9" t="str" cm="1">
        <f t="array" aca="1" ref="E8" ca="1">INDEX($R$2:$R$31,RANDBETWEEN(1,30))</f>
        <v>Tornillería Nacional del Valle de Aburrá</v>
      </c>
      <c r="F8" s="11">
        <f ca="1">RANDBETWEEN(1,50)</f>
        <v>10</v>
      </c>
      <c r="G8" s="12">
        <f ca="1">MROUND(RANDBETWEEN(1500,850000),100)</f>
        <v>14200</v>
      </c>
      <c r="H8" s="12">
        <f ca="1">F8*G8</f>
        <v>142000</v>
      </c>
      <c r="I8" s="12">
        <f ca="1">ROUND(H8*0.19,0)</f>
        <v>26980</v>
      </c>
      <c r="J8" s="12">
        <f ca="1">H8+I8</f>
        <v>168980</v>
      </c>
      <c r="K8" s="13">
        <f ca="1">IF(RANDBETWEEN(0,1)=0,0.025,0.035)</f>
        <v>2.5000000000000001E-2</v>
      </c>
      <c r="L8" s="12">
        <f ca="1">ROUND(H8*K8,0)</f>
        <v>3550</v>
      </c>
      <c r="M8" s="14">
        <f>0.01104</f>
        <v>1.1039999999999999E-2</v>
      </c>
      <c r="N8" s="12">
        <f ca="1">ROUND(H8*M8,0)</f>
        <v>1568</v>
      </c>
      <c r="O8" s="12">
        <f ca="1">J8-L8-N8</f>
        <v>163862</v>
      </c>
      <c r="Q8" t="s">
        <v>20</v>
      </c>
      <c r="R8" t="str">
        <f>Q8</f>
        <v>Pinturas y Acabados Aburrá S.A.S.</v>
      </c>
      <c r="S8" t="s">
        <v>303</v>
      </c>
    </row>
    <row r="9" spans="1:19" x14ac:dyDescent="0.35">
      <c r="A9" s="9" t="str">
        <f>"FE-"&amp;TEXT(1000+ROW()-1,"0000")</f>
        <v>FE-1008</v>
      </c>
      <c r="B9" s="10">
        <f ca="1">DATE(2026,1,1)+RANDBETWEEN(0,119)</f>
        <v>46027</v>
      </c>
      <c r="C9" s="9" t="str" cm="1">
        <f t="array" aca="1" ref="C9" ca="1">INDEX($Q$2:$Q$16,RANDBETWEEN(1,15))</f>
        <v>Herramientas Industriales Medellín S.A.S.</v>
      </c>
      <c r="D9" s="86" t="str">
        <f ca="1">VLOOKUP(C9,$R$2:$S$16,2,FALSE)</f>
        <v>900.567.890-5</v>
      </c>
      <c r="E9" s="9" t="str" cm="1">
        <f t="array" aca="1" ref="E9" ca="1">INDEX($R$2:$R$31,RANDBETWEEN(1,30))</f>
        <v>Ladrillo tolete macizo</v>
      </c>
      <c r="F9" s="11">
        <f ca="1">RANDBETWEEN(1,50)</f>
        <v>3</v>
      </c>
      <c r="G9" s="12">
        <f ca="1">MROUND(RANDBETWEEN(1500,850000),100)</f>
        <v>691300</v>
      </c>
      <c r="H9" s="12">
        <f ca="1">F9*G9</f>
        <v>2073900</v>
      </c>
      <c r="I9" s="12">
        <f ca="1">ROUND(H9*0.19,0)</f>
        <v>394041</v>
      </c>
      <c r="J9" s="12">
        <f ca="1">H9+I9</f>
        <v>2467941</v>
      </c>
      <c r="K9" s="13">
        <f ca="1">IF(RANDBETWEEN(0,1)=0,0.025,0.035)</f>
        <v>3.5000000000000003E-2</v>
      </c>
      <c r="L9" s="12">
        <f ca="1">ROUND(H9*K9,0)</f>
        <v>72587</v>
      </c>
      <c r="M9" s="14">
        <f>0.01104</f>
        <v>1.1039999999999999E-2</v>
      </c>
      <c r="N9" s="12">
        <f ca="1">ROUND(H9*M9,0)</f>
        <v>22896</v>
      </c>
      <c r="O9" s="12">
        <f ca="1">J9-L9-N9</f>
        <v>2372458</v>
      </c>
      <c r="Q9" t="s">
        <v>21</v>
      </c>
      <c r="R9" t="str">
        <f>Q9</f>
        <v>Tornillería Nacional del Valle de Aburrá</v>
      </c>
      <c r="S9" t="s">
        <v>304</v>
      </c>
    </row>
    <row r="10" spans="1:19" x14ac:dyDescent="0.35">
      <c r="A10" s="9" t="str">
        <f>"FE-"&amp;TEXT(1000+ROW()-1,"0000")</f>
        <v>FE-1009</v>
      </c>
      <c r="B10" s="10">
        <f ca="1">DATE(2026,1,1)+RANDBETWEEN(0,119)</f>
        <v>46037</v>
      </c>
      <c r="C10" s="9" t="str" cm="1">
        <f t="array" aca="1" ref="C10" ca="1">INDEX($Q$2:$Q$16,RANDBETWEEN(1,15))</f>
        <v>Tubos y Conexiones Envigado Ltda.</v>
      </c>
      <c r="D10" s="86" t="str">
        <f ca="1">VLOOKUP(C10,$R$2:$S$16,2,FALSE)</f>
        <v>901.012.345-0</v>
      </c>
      <c r="E10" s="9" t="str" cm="1">
        <f t="array" aca="1" ref="E10" ca="1">INDEX($R$2:$R$31,RANDBETWEEN(1,30))</f>
        <v>Destornillador de pala 1/4"</v>
      </c>
      <c r="F10" s="11">
        <f ca="1">RANDBETWEEN(1,50)</f>
        <v>18</v>
      </c>
      <c r="G10" s="12">
        <f ca="1">MROUND(RANDBETWEEN(1500,850000),100)</f>
        <v>236900</v>
      </c>
      <c r="H10" s="12">
        <f ca="1">F10*G10</f>
        <v>4264200</v>
      </c>
      <c r="I10" s="12">
        <f ca="1">ROUND(H10*0.19,0)</f>
        <v>810198</v>
      </c>
      <c r="J10" s="12">
        <f ca="1">H10+I10</f>
        <v>5074398</v>
      </c>
      <c r="K10" s="13">
        <f ca="1">IF(RANDBETWEEN(0,1)=0,0.025,0.035)</f>
        <v>2.5000000000000001E-2</v>
      </c>
      <c r="L10" s="12">
        <f ca="1">ROUND(H10*K10,0)</f>
        <v>106605</v>
      </c>
      <c r="M10" s="14">
        <f>0.01104</f>
        <v>1.1039999999999999E-2</v>
      </c>
      <c r="N10" s="12">
        <f ca="1">ROUND(H10*M10,0)</f>
        <v>47077</v>
      </c>
      <c r="O10" s="12">
        <f ca="1">J10-L10-N10</f>
        <v>4920716</v>
      </c>
      <c r="Q10" t="s">
        <v>22</v>
      </c>
      <c r="R10" t="str">
        <f>Q10</f>
        <v>Hierros y Mallas Bello S.A.S.</v>
      </c>
      <c r="S10" t="s">
        <v>305</v>
      </c>
    </row>
    <row r="11" spans="1:19" x14ac:dyDescent="0.35">
      <c r="A11" s="9" t="str">
        <f>"FE-"&amp;TEXT(1000+ROW()-1,"0000")</f>
        <v>FE-1010</v>
      </c>
      <c r="B11" s="10">
        <f ca="1">DATE(2026,1,1)+RANDBETWEEN(0,119)</f>
        <v>46117</v>
      </c>
      <c r="C11" s="9" t="str" cm="1">
        <f t="array" aca="1" ref="C11" ca="1">INDEX($Q$2:$Q$16,RANDBETWEEN(1,15))</f>
        <v>Acabados y Construcción Poblado S.A.S.</v>
      </c>
      <c r="D11" s="86" t="str">
        <f ca="1">VLOOKUP(C11,$R$2:$S$16,2,FALSE)</f>
        <v>901.567.890-5</v>
      </c>
      <c r="E11" s="9" t="str" cm="1">
        <f t="array" aca="1" ref="E11" ca="1">INDEX($R$2:$R$31,RANDBETWEEN(1,30))</f>
        <v>Guantes de carnaza par</v>
      </c>
      <c r="F11" s="11">
        <f ca="1">RANDBETWEEN(1,50)</f>
        <v>1</v>
      </c>
      <c r="G11" s="12">
        <f ca="1">MROUND(RANDBETWEEN(1500,850000),100)</f>
        <v>223500</v>
      </c>
      <c r="H11" s="12">
        <f ca="1">F11*G11</f>
        <v>223500</v>
      </c>
      <c r="I11" s="12">
        <f ca="1">ROUND(H11*0.19,0)</f>
        <v>42465</v>
      </c>
      <c r="J11" s="12">
        <f ca="1">H11+I11</f>
        <v>265965</v>
      </c>
      <c r="K11" s="13">
        <f ca="1">IF(RANDBETWEEN(0,1)=0,0.025,0.035)</f>
        <v>3.5000000000000003E-2</v>
      </c>
      <c r="L11" s="12">
        <f ca="1">ROUND(H11*K11,0)</f>
        <v>7823</v>
      </c>
      <c r="M11" s="14">
        <f>0.01104</f>
        <v>1.1039999999999999E-2</v>
      </c>
      <c r="N11" s="12">
        <f ca="1">ROUND(H11*M11,0)</f>
        <v>2467</v>
      </c>
      <c r="O11" s="12">
        <f ca="1">J11-L11-N11</f>
        <v>255675</v>
      </c>
      <c r="Q11" t="s">
        <v>23</v>
      </c>
      <c r="R11" t="str">
        <f>Q11</f>
        <v>Tubos y Conexiones Envigado Ltda.</v>
      </c>
      <c r="S11" t="s">
        <v>306</v>
      </c>
    </row>
    <row r="12" spans="1:19" x14ac:dyDescent="0.35">
      <c r="A12" s="9" t="str">
        <f>"FE-"&amp;TEXT(1000+ROW()-1,"0000")</f>
        <v>FE-1011</v>
      </c>
      <c r="B12" s="10">
        <f ca="1">DATE(2026,1,1)+RANDBETWEEN(0,119)</f>
        <v>46041</v>
      </c>
      <c r="C12" s="9" t="str" cm="1">
        <f t="array" aca="1" ref="C12" ca="1">INDEX($Q$2:$Q$16,RANDBETWEEN(1,15))</f>
        <v>Materiales La Estrella S.A.S.</v>
      </c>
      <c r="D12" s="86" t="str">
        <f ca="1">VLOOKUP(C12,$R$2:$S$16,2,FALSE)</f>
        <v>901.345.678-3</v>
      </c>
      <c r="E12" s="9" t="str" cm="1">
        <f t="array" aca="1" ref="E12" ca="1">INDEX($R$2:$R$31,RANDBETWEEN(1,30))</f>
        <v>Guantes de carnaza par</v>
      </c>
      <c r="F12" s="11">
        <f ca="1">RANDBETWEEN(1,50)</f>
        <v>44</v>
      </c>
      <c r="G12" s="12">
        <f ca="1">MROUND(RANDBETWEEN(1500,850000),100)</f>
        <v>266700</v>
      </c>
      <c r="H12" s="12">
        <f ca="1">F12*G12</f>
        <v>11734800</v>
      </c>
      <c r="I12" s="12">
        <f ca="1">ROUND(H12*0.19,0)</f>
        <v>2229612</v>
      </c>
      <c r="J12" s="12">
        <f ca="1">H12+I12</f>
        <v>13964412</v>
      </c>
      <c r="K12" s="13">
        <f ca="1">IF(RANDBETWEEN(0,1)=0,0.025,0.035)</f>
        <v>2.5000000000000001E-2</v>
      </c>
      <c r="L12" s="12">
        <f ca="1">ROUND(H12*K12,0)</f>
        <v>293370</v>
      </c>
      <c r="M12" s="14">
        <f>0.01104</f>
        <v>1.1039999999999999E-2</v>
      </c>
      <c r="N12" s="12">
        <f ca="1">ROUND(H12*M12,0)</f>
        <v>129552</v>
      </c>
      <c r="O12" s="12">
        <f ca="1">J12-L12-N12</f>
        <v>13541490</v>
      </c>
      <c r="Q12" t="s">
        <v>24</v>
      </c>
      <c r="R12" t="str">
        <f>Q12</f>
        <v>El Constructor S.A.S.</v>
      </c>
      <c r="S12" t="s">
        <v>307</v>
      </c>
    </row>
    <row r="13" spans="1:19" x14ac:dyDescent="0.35">
      <c r="A13" s="9" t="str">
        <f>"FE-"&amp;TEXT(1000+ROW()-1,"0000")</f>
        <v>FE-1012</v>
      </c>
      <c r="B13" s="10">
        <f ca="1">DATE(2026,1,1)+RANDBETWEEN(0,119)</f>
        <v>46076</v>
      </c>
      <c r="C13" s="9" t="str" cm="1">
        <f t="array" aca="1" ref="C13" ca="1">INDEX($Q$2:$Q$16,RANDBETWEEN(1,15))</f>
        <v>Cementos y Materiales Paisa S.A.</v>
      </c>
      <c r="D13" s="86" t="str">
        <f ca="1">VLOOKUP(C13,$R$2:$S$16,2,FALSE)</f>
        <v>900.456.789-4</v>
      </c>
      <c r="E13" s="9" t="str" cm="1">
        <f t="array" aca="1" ref="E13" ca="1">INDEX($R$2:$R$31,RANDBETWEEN(1,30))</f>
        <v>Tornillería Nacional del Valle de Aburrá</v>
      </c>
      <c r="F13" s="11">
        <f ca="1">RANDBETWEEN(1,50)</f>
        <v>4</v>
      </c>
      <c r="G13" s="12">
        <f ca="1">MROUND(RANDBETWEEN(1500,850000),100)</f>
        <v>542700</v>
      </c>
      <c r="H13" s="12">
        <f ca="1">F13*G13</f>
        <v>2170800</v>
      </c>
      <c r="I13" s="12">
        <f ca="1">ROUND(H13*0.19,0)</f>
        <v>412452</v>
      </c>
      <c r="J13" s="12">
        <f ca="1">H13+I13</f>
        <v>2583252</v>
      </c>
      <c r="K13" s="13">
        <f ca="1">IF(RANDBETWEEN(0,1)=0,0.025,0.035)</f>
        <v>2.5000000000000001E-2</v>
      </c>
      <c r="L13" s="12">
        <f ca="1">ROUND(H13*K13,0)</f>
        <v>54270</v>
      </c>
      <c r="M13" s="14">
        <f>0.01104</f>
        <v>1.1039999999999999E-2</v>
      </c>
      <c r="N13" s="12">
        <f ca="1">ROUND(H13*M13,0)</f>
        <v>23966</v>
      </c>
      <c r="O13" s="12">
        <f ca="1">J13-L13-N13</f>
        <v>2505016</v>
      </c>
      <c r="Q13" t="s">
        <v>25</v>
      </c>
      <c r="R13" t="str">
        <f>Q13</f>
        <v>Ferromax Colombia S.A.S.</v>
      </c>
      <c r="S13" t="s">
        <v>308</v>
      </c>
    </row>
    <row r="14" spans="1:19" x14ac:dyDescent="0.35">
      <c r="A14" s="9" t="str">
        <f>"FE-"&amp;TEXT(1000+ROW()-1,"0000")</f>
        <v>FE-1013</v>
      </c>
      <c r="B14" s="10">
        <f ca="1">DATE(2026,1,1)+RANDBETWEEN(0,119)</f>
        <v>46137</v>
      </c>
      <c r="C14" s="9" t="str" cm="1">
        <f t="array" aca="1" ref="C14" ca="1">INDEX($Q$2:$Q$16,RANDBETWEEN(1,15))</f>
        <v>Ferromax Colombia S.A.S.</v>
      </c>
      <c r="D14" s="86" t="str">
        <f ca="1">VLOOKUP(C14,$R$2:$S$16,2,FALSE)</f>
        <v>901.234.567-2</v>
      </c>
      <c r="E14" s="9" t="str" cm="1">
        <f t="array" aca="1" ref="E14" ca="1">INDEX($R$2:$R$31,RANDBETWEEN(1,30))</f>
        <v>Pala cuadrada con cabo</v>
      </c>
      <c r="F14" s="11">
        <f ca="1">RANDBETWEEN(1,50)</f>
        <v>48</v>
      </c>
      <c r="G14" s="12">
        <f ca="1">MROUND(RANDBETWEEN(1500,850000),100)</f>
        <v>560300</v>
      </c>
      <c r="H14" s="12">
        <f ca="1">F14*G14</f>
        <v>26894400</v>
      </c>
      <c r="I14" s="12">
        <f ca="1">ROUND(H14*0.19,0)</f>
        <v>5109936</v>
      </c>
      <c r="J14" s="12">
        <f ca="1">H14+I14</f>
        <v>32004336</v>
      </c>
      <c r="K14" s="13">
        <f ca="1">IF(RANDBETWEEN(0,1)=0,0.025,0.035)</f>
        <v>2.5000000000000001E-2</v>
      </c>
      <c r="L14" s="12">
        <f ca="1">ROUND(H14*K14,0)</f>
        <v>672360</v>
      </c>
      <c r="M14" s="14">
        <f>0.01104</f>
        <v>1.1039999999999999E-2</v>
      </c>
      <c r="N14" s="12">
        <f ca="1">ROUND(H14*M14,0)</f>
        <v>296914</v>
      </c>
      <c r="O14" s="12">
        <f ca="1">J14-L14-N14</f>
        <v>31035062</v>
      </c>
      <c r="Q14" t="s">
        <v>26</v>
      </c>
      <c r="R14" t="str">
        <f>Q14</f>
        <v>Materiales La Estrella S.A.S.</v>
      </c>
      <c r="S14" t="s">
        <v>309</v>
      </c>
    </row>
    <row r="15" spans="1:19" x14ac:dyDescent="0.35">
      <c r="A15" s="9" t="str">
        <f>"FE-"&amp;TEXT(1000+ROW()-1,"0000")</f>
        <v>FE-1014</v>
      </c>
      <c r="B15" s="10">
        <f ca="1">DATE(2026,1,1)+RANDBETWEEN(0,119)</f>
        <v>46063</v>
      </c>
      <c r="C15" s="9" t="str" cm="1">
        <f t="array" aca="1" ref="C15" ca="1">INDEX($Q$2:$Q$16,RANDBETWEEN(1,15))</f>
        <v>Ferretería Antioqueña Ltda.</v>
      </c>
      <c r="D15" s="86" t="str">
        <f ca="1">VLOOKUP(C15,$R$2:$S$16,2,FALSE)</f>
        <v>900.234.567-2</v>
      </c>
      <c r="E15" s="9" t="str" cm="1">
        <f t="array" aca="1" ref="E15" ca="1">INDEX($R$2:$R$31,RANDBETWEEN(1,30))</f>
        <v>Triturado 1/2" - bulto</v>
      </c>
      <c r="F15" s="11">
        <f ca="1">RANDBETWEEN(1,50)</f>
        <v>25</v>
      </c>
      <c r="G15" s="12">
        <f ca="1">MROUND(RANDBETWEEN(1500,850000),100)</f>
        <v>418400</v>
      </c>
      <c r="H15" s="12">
        <f ca="1">F15*G15</f>
        <v>10460000</v>
      </c>
      <c r="I15" s="12">
        <f ca="1">ROUND(H15*0.19,0)</f>
        <v>1987400</v>
      </c>
      <c r="J15" s="12">
        <f ca="1">H15+I15</f>
        <v>12447400</v>
      </c>
      <c r="K15" s="13">
        <f ca="1">IF(RANDBETWEEN(0,1)=0,0.025,0.035)</f>
        <v>3.5000000000000003E-2</v>
      </c>
      <c r="L15" s="12">
        <f ca="1">ROUND(H15*K15,0)</f>
        <v>366100</v>
      </c>
      <c r="M15" s="14">
        <f>0.01104</f>
        <v>1.1039999999999999E-2</v>
      </c>
      <c r="N15" s="12">
        <f ca="1">ROUND(H15*M15,0)</f>
        <v>115478</v>
      </c>
      <c r="O15" s="12">
        <f ca="1">J15-L15-N15</f>
        <v>11965822</v>
      </c>
      <c r="Q15" t="s">
        <v>27</v>
      </c>
      <c r="R15" t="str">
        <f>Q15</f>
        <v>Distribuciones Itagüí Ferretera Ltda.</v>
      </c>
      <c r="S15" t="s">
        <v>310</v>
      </c>
    </row>
    <row r="16" spans="1:19" x14ac:dyDescent="0.35">
      <c r="A16" s="9" t="str">
        <f>"FE-"&amp;TEXT(1000+ROW()-1,"0000")</f>
        <v>FE-1015</v>
      </c>
      <c r="B16" s="10">
        <f ca="1">DATE(2026,1,1)+RANDBETWEEN(0,119)</f>
        <v>46024</v>
      </c>
      <c r="C16" s="9" t="str" cm="1">
        <f t="array" aca="1" ref="C16" ca="1">INDEX($Q$2:$Q$16,RANDBETWEEN(1,15))</f>
        <v>Materiales La Estrella S.A.S.</v>
      </c>
      <c r="D16" s="86" t="str">
        <f ca="1">VLOOKUP(C16,$R$2:$S$16,2,FALSE)</f>
        <v>901.345.678-3</v>
      </c>
      <c r="E16" s="9" t="str" cm="1">
        <f t="array" aca="1" ref="E16" ca="1">INDEX($R$2:$R$31,RANDBETWEEN(1,30))</f>
        <v>Materiales La Estrella S.A.S.</v>
      </c>
      <c r="F16" s="11">
        <f ca="1">RANDBETWEEN(1,50)</f>
        <v>33</v>
      </c>
      <c r="G16" s="12">
        <f ca="1">MROUND(RANDBETWEEN(1500,850000),100)</f>
        <v>376000</v>
      </c>
      <c r="H16" s="12">
        <f ca="1">F16*G16</f>
        <v>12408000</v>
      </c>
      <c r="I16" s="12">
        <f ca="1">ROUND(H16*0.19,0)</f>
        <v>2357520</v>
      </c>
      <c r="J16" s="12">
        <f ca="1">H16+I16</f>
        <v>14765520</v>
      </c>
      <c r="K16" s="13">
        <f ca="1">IF(RANDBETWEEN(0,1)=0,0.025,0.035)</f>
        <v>2.5000000000000001E-2</v>
      </c>
      <c r="L16" s="12">
        <f ca="1">ROUND(H16*K16,0)</f>
        <v>310200</v>
      </c>
      <c r="M16" s="14">
        <f>0.01104</f>
        <v>1.1039999999999999E-2</v>
      </c>
      <c r="N16" s="12">
        <f ca="1">ROUND(H16*M16,0)</f>
        <v>136984</v>
      </c>
      <c r="O16" s="12">
        <f ca="1">J16-L16-N16</f>
        <v>14318336</v>
      </c>
      <c r="Q16" t="s">
        <v>28</v>
      </c>
      <c r="R16" t="str">
        <f>Q16</f>
        <v>Acabados y Construcción Poblado S.A.S.</v>
      </c>
      <c r="S16" t="s">
        <v>311</v>
      </c>
    </row>
    <row r="17" spans="1:18" x14ac:dyDescent="0.35">
      <c r="A17" s="9" t="str">
        <f>"FE-"&amp;TEXT(1000+ROW()-1,"0000")</f>
        <v>FE-1016</v>
      </c>
      <c r="B17" s="10">
        <f ca="1">DATE(2026,1,1)+RANDBETWEEN(0,119)</f>
        <v>46046</v>
      </c>
      <c r="C17" s="9" t="str" cm="1">
        <f t="array" aca="1" ref="C17" ca="1">INDEX($Q$2:$Q$16,RANDBETWEEN(1,15))</f>
        <v>Aceros de la Montaña S.A.S.</v>
      </c>
      <c r="D17" s="86" t="str">
        <f ca="1">VLOOKUP(C17,$R$2:$S$16,2,FALSE)</f>
        <v>900.123.456-1</v>
      </c>
      <c r="E17" s="9" t="str" cm="1">
        <f t="array" aca="1" ref="E17" ca="1">INDEX($R$2:$R$31,RANDBETWEEN(1,30))</f>
        <v>Ferretería Antioqueña Ltda.</v>
      </c>
      <c r="F17" s="11">
        <f ca="1">RANDBETWEEN(1,50)</f>
        <v>18</v>
      </c>
      <c r="G17" s="12">
        <f ca="1">MROUND(RANDBETWEEN(1500,850000),100)</f>
        <v>665700</v>
      </c>
      <c r="H17" s="12">
        <f ca="1">F17*G17</f>
        <v>11982600</v>
      </c>
      <c r="I17" s="12">
        <f ca="1">ROUND(H17*0.19,0)</f>
        <v>2276694</v>
      </c>
      <c r="J17" s="12">
        <f ca="1">H17+I17</f>
        <v>14259294</v>
      </c>
      <c r="K17" s="13">
        <f ca="1">IF(RANDBETWEEN(0,1)=0,0.025,0.035)</f>
        <v>2.5000000000000001E-2</v>
      </c>
      <c r="L17" s="12">
        <f ca="1">ROUND(H17*K17,0)</f>
        <v>299565</v>
      </c>
      <c r="M17" s="14">
        <f>0.01104</f>
        <v>1.1039999999999999E-2</v>
      </c>
      <c r="N17" s="12">
        <f ca="1">ROUND(H17*M17,0)</f>
        <v>132288</v>
      </c>
      <c r="O17" s="12">
        <f ca="1">J17-L17-N17</f>
        <v>13827441</v>
      </c>
      <c r="R17" t="s">
        <v>29</v>
      </c>
    </row>
    <row r="18" spans="1:18" x14ac:dyDescent="0.35">
      <c r="A18" s="9" t="str">
        <f>"FE-"&amp;TEXT(1000+ROW()-1,"0000")</f>
        <v>FE-1017</v>
      </c>
      <c r="B18" s="10">
        <f ca="1">DATE(2026,1,1)+RANDBETWEEN(0,119)</f>
        <v>46093</v>
      </c>
      <c r="C18" s="9" t="str" cm="1">
        <f t="array" aca="1" ref="C18" ca="1">INDEX($Q$2:$Q$16,RANDBETWEEN(1,15))</f>
        <v>Aceros de la Montaña S.A.S.</v>
      </c>
      <c r="D18" s="86" t="str">
        <f ca="1">VLOOKUP(C18,$R$2:$S$16,2,FALSE)</f>
        <v>900.123.456-1</v>
      </c>
      <c r="E18" s="9" t="str" cm="1">
        <f t="array" aca="1" ref="E18" ca="1">INDEX($R$2:$R$31,RANDBETWEEN(1,30))</f>
        <v>Llave de tubo 14"</v>
      </c>
      <c r="F18" s="11">
        <f ca="1">RANDBETWEEN(1,50)</f>
        <v>27</v>
      </c>
      <c r="G18" s="12">
        <f ca="1">MROUND(RANDBETWEEN(1500,850000),100)</f>
        <v>199100</v>
      </c>
      <c r="H18" s="12">
        <f ca="1">F18*G18</f>
        <v>5375700</v>
      </c>
      <c r="I18" s="12">
        <f ca="1">ROUND(H18*0.19,0)</f>
        <v>1021383</v>
      </c>
      <c r="J18" s="12">
        <f ca="1">H18+I18</f>
        <v>6397083</v>
      </c>
      <c r="K18" s="13">
        <f ca="1">IF(RANDBETWEEN(0,1)=0,0.025,0.035)</f>
        <v>2.5000000000000001E-2</v>
      </c>
      <c r="L18" s="12">
        <f ca="1">ROUND(H18*K18,0)</f>
        <v>134393</v>
      </c>
      <c r="M18" s="14">
        <f>0.01104</f>
        <v>1.1039999999999999E-2</v>
      </c>
      <c r="N18" s="12">
        <f ca="1">ROUND(H18*M18,0)</f>
        <v>59348</v>
      </c>
      <c r="O18" s="12">
        <f ca="1">J18-L18-N18</f>
        <v>6203342</v>
      </c>
      <c r="R18" t="s">
        <v>30</v>
      </c>
    </row>
    <row r="19" spans="1:18" x14ac:dyDescent="0.35">
      <c r="A19" s="9" t="str">
        <f>"FE-"&amp;TEXT(1000+ROW()-1,"0000")</f>
        <v>FE-1018</v>
      </c>
      <c r="B19" s="10">
        <f ca="1">DATE(2026,1,1)+RANDBETWEEN(0,119)</f>
        <v>46043</v>
      </c>
      <c r="C19" s="9" t="str" cm="1">
        <f t="array" aca="1" ref="C19" ca="1">INDEX($Q$2:$Q$16,RANDBETWEEN(1,15))</f>
        <v>Pinturas y Acabados Aburrá S.A.S.</v>
      </c>
      <c r="D19" s="86" t="str">
        <f ca="1">VLOOKUP(C19,$R$2:$S$16,2,FALSE)</f>
        <v>900.789.012-7</v>
      </c>
      <c r="E19" s="9" t="str" cm="1">
        <f t="array" aca="1" ref="E19" ca="1">INDEX($R$2:$R$31,RANDBETWEEN(1,30))</f>
        <v>Aceros de la Montaña S.A.S.</v>
      </c>
      <c r="F19" s="11">
        <f ca="1">RANDBETWEEN(1,50)</f>
        <v>5</v>
      </c>
      <c r="G19" s="12">
        <f ca="1">MROUND(RANDBETWEEN(1500,850000),100)</f>
        <v>776100</v>
      </c>
      <c r="H19" s="12">
        <f ca="1">F19*G19</f>
        <v>3880500</v>
      </c>
      <c r="I19" s="12">
        <f ca="1">ROUND(H19*0.19,0)</f>
        <v>737295</v>
      </c>
      <c r="J19" s="12">
        <f ca="1">H19+I19</f>
        <v>4617795</v>
      </c>
      <c r="K19" s="13">
        <f ca="1">IF(RANDBETWEEN(0,1)=0,0.025,0.035)</f>
        <v>3.5000000000000003E-2</v>
      </c>
      <c r="L19" s="12">
        <f ca="1">ROUND(H19*K19,0)</f>
        <v>135818</v>
      </c>
      <c r="M19" s="14">
        <f>0.01104</f>
        <v>1.1039999999999999E-2</v>
      </c>
      <c r="N19" s="12">
        <f ca="1">ROUND(H19*M19,0)</f>
        <v>42841</v>
      </c>
      <c r="O19" s="12">
        <f ca="1">J19-L19-N19</f>
        <v>4439136</v>
      </c>
      <c r="R19" t="s">
        <v>31</v>
      </c>
    </row>
    <row r="20" spans="1:18" x14ac:dyDescent="0.35">
      <c r="A20" s="9" t="str">
        <f>"FE-"&amp;TEXT(1000+ROW()-1,"0000")</f>
        <v>FE-1019</v>
      </c>
      <c r="B20" s="10">
        <f ca="1">DATE(2026,1,1)+RANDBETWEEN(0,119)</f>
        <v>46079</v>
      </c>
      <c r="C20" s="9" t="str" cm="1">
        <f t="array" aca="1" ref="C20" ca="1">INDEX($Q$2:$Q$16,RANDBETWEEN(1,15))</f>
        <v>Aceros de la Montaña S.A.S.</v>
      </c>
      <c r="D20" s="86" t="str">
        <f ca="1">VLOOKUP(C20,$R$2:$S$16,2,FALSE)</f>
        <v>900.123.456-1</v>
      </c>
      <c r="E20" s="9" t="str" cm="1">
        <f t="array" aca="1" ref="E20" ca="1">INDEX($R$2:$R$31,RANDBETWEEN(1,30))</f>
        <v>Guantes de carnaza par</v>
      </c>
      <c r="F20" s="11">
        <f ca="1">RANDBETWEEN(1,50)</f>
        <v>47</v>
      </c>
      <c r="G20" s="12">
        <f ca="1">MROUND(RANDBETWEEN(1500,850000),100)</f>
        <v>746000</v>
      </c>
      <c r="H20" s="12">
        <f ca="1">F20*G20</f>
        <v>35062000</v>
      </c>
      <c r="I20" s="12">
        <f ca="1">ROUND(H20*0.19,0)</f>
        <v>6661780</v>
      </c>
      <c r="J20" s="12">
        <f ca="1">H20+I20</f>
        <v>41723780</v>
      </c>
      <c r="K20" s="13">
        <f ca="1">IF(RANDBETWEEN(0,1)=0,0.025,0.035)</f>
        <v>3.5000000000000003E-2</v>
      </c>
      <c r="L20" s="12">
        <f ca="1">ROUND(H20*K20,0)</f>
        <v>1227170</v>
      </c>
      <c r="M20" s="14">
        <f>0.01104</f>
        <v>1.1039999999999999E-2</v>
      </c>
      <c r="N20" s="12">
        <f ca="1">ROUND(H20*M20,0)</f>
        <v>387084</v>
      </c>
      <c r="O20" s="12">
        <f ca="1">J20-L20-N20</f>
        <v>40109526</v>
      </c>
      <c r="R20" t="s">
        <v>32</v>
      </c>
    </row>
    <row r="21" spans="1:18" x14ac:dyDescent="0.35">
      <c r="A21" s="9" t="str">
        <f>"FE-"&amp;TEXT(1000+ROW()-1,"0000")</f>
        <v>FE-1020</v>
      </c>
      <c r="B21" s="10">
        <f ca="1">DATE(2026,1,1)+RANDBETWEEN(0,119)</f>
        <v>46040</v>
      </c>
      <c r="C21" s="9" t="str" cm="1">
        <f t="array" aca="1" ref="C21" ca="1">INDEX($Q$2:$Q$16,RANDBETWEEN(1,15))</f>
        <v>Aceros de la Montaña S.A.S.</v>
      </c>
      <c r="D21" s="86" t="str">
        <f ca="1">VLOOKUP(C21,$R$2:$S$16,2,FALSE)</f>
        <v>900.123.456-1</v>
      </c>
      <c r="E21" s="9" t="str" cm="1">
        <f t="array" aca="1" ref="E21" ca="1">INDEX($R$2:$R$31,RANDBETWEEN(1,30))</f>
        <v>Cementos y Materiales Paisa S.A.</v>
      </c>
      <c r="F21" s="11">
        <f ca="1">RANDBETWEEN(1,50)</f>
        <v>32</v>
      </c>
      <c r="G21" s="12">
        <f ca="1">MROUND(RANDBETWEEN(1500,850000),100)</f>
        <v>604600</v>
      </c>
      <c r="H21" s="12">
        <f ca="1">F21*G21</f>
        <v>19347200</v>
      </c>
      <c r="I21" s="12">
        <f ca="1">ROUND(H21*0.19,0)</f>
        <v>3675968</v>
      </c>
      <c r="J21" s="12">
        <f ca="1">H21+I21</f>
        <v>23023168</v>
      </c>
      <c r="K21" s="13">
        <f ca="1">IF(RANDBETWEEN(0,1)=0,0.025,0.035)</f>
        <v>3.5000000000000003E-2</v>
      </c>
      <c r="L21" s="12">
        <f ca="1">ROUND(H21*K21,0)</f>
        <v>677152</v>
      </c>
      <c r="M21" s="14">
        <f>0.01104</f>
        <v>1.1039999999999999E-2</v>
      </c>
      <c r="N21" s="12">
        <f ca="1">ROUND(H21*M21,0)</f>
        <v>213593</v>
      </c>
      <c r="O21" s="12">
        <f ca="1">J21-L21-N21</f>
        <v>22132423</v>
      </c>
      <c r="R21" t="s">
        <v>33</v>
      </c>
    </row>
    <row r="22" spans="1:18" x14ac:dyDescent="0.35">
      <c r="A22" s="9" t="str">
        <f>"FE-"&amp;TEXT(1000+ROW()-1,"0000")</f>
        <v>FE-1021</v>
      </c>
      <c r="B22" s="10">
        <f ca="1">DATE(2026,1,1)+RANDBETWEEN(0,119)</f>
        <v>46086</v>
      </c>
      <c r="C22" s="9" t="str" cm="1">
        <f t="array" aca="1" ref="C22" ca="1">INDEX($Q$2:$Q$16,RANDBETWEEN(1,15))</f>
        <v>Cementos y Materiales Paisa S.A.</v>
      </c>
      <c r="D22" s="86" t="str">
        <f ca="1">VLOOKUP(C22,$R$2:$S$16,2,FALSE)</f>
        <v>900.456.789-4</v>
      </c>
      <c r="E22" s="9" t="str" cm="1">
        <f t="array" aca="1" ref="E22" ca="1">INDEX($R$2:$R$31,RANDBETWEEN(1,30))</f>
        <v>Pinturas y Acabados Aburrá S.A.S.</v>
      </c>
      <c r="F22" s="11">
        <f ca="1">RANDBETWEEN(1,50)</f>
        <v>29</v>
      </c>
      <c r="G22" s="12">
        <f ca="1">MROUND(RANDBETWEEN(1500,850000),100)</f>
        <v>311400</v>
      </c>
      <c r="H22" s="12">
        <f ca="1">F22*G22</f>
        <v>9030600</v>
      </c>
      <c r="I22" s="12">
        <f ca="1">ROUND(H22*0.19,0)</f>
        <v>1715814</v>
      </c>
      <c r="J22" s="12">
        <f ca="1">H22+I22</f>
        <v>10746414</v>
      </c>
      <c r="K22" s="13">
        <f ca="1">IF(RANDBETWEEN(0,1)=0,0.025,0.035)</f>
        <v>2.5000000000000001E-2</v>
      </c>
      <c r="L22" s="12">
        <f ca="1">ROUND(H22*K22,0)</f>
        <v>225765</v>
      </c>
      <c r="M22" s="14">
        <f>0.01104</f>
        <v>1.1039999999999999E-2</v>
      </c>
      <c r="N22" s="12">
        <f ca="1">ROUND(H22*M22,0)</f>
        <v>99698</v>
      </c>
      <c r="O22" s="12">
        <f ca="1">J22-L22-N22</f>
        <v>10420951</v>
      </c>
      <c r="R22" t="s">
        <v>34</v>
      </c>
    </row>
    <row r="23" spans="1:18" x14ac:dyDescent="0.35">
      <c r="A23" s="9" t="str">
        <f>"FE-"&amp;TEXT(1000+ROW()-1,"0000")</f>
        <v>FE-1022</v>
      </c>
      <c r="B23" s="10">
        <f ca="1">DATE(2026,1,1)+RANDBETWEEN(0,119)</f>
        <v>46137</v>
      </c>
      <c r="C23" s="9" t="str" cm="1">
        <f t="array" aca="1" ref="C23" ca="1">INDEX($Q$2:$Q$16,RANDBETWEEN(1,15))</f>
        <v>Acabados y Construcción Poblado S.A.S.</v>
      </c>
      <c r="D23" s="86" t="str">
        <f ca="1">VLOOKUP(C23,$R$2:$S$16,2,FALSE)</f>
        <v>901.567.890-5</v>
      </c>
      <c r="E23" s="9" t="str" cm="1">
        <f t="array" aca="1" ref="E23" ca="1">INDEX($R$2:$R$31,RANDBETWEEN(1,30))</f>
        <v>Materiales La Estrella S.A.S.</v>
      </c>
      <c r="F23" s="11">
        <f ca="1">RANDBETWEEN(1,50)</f>
        <v>32</v>
      </c>
      <c r="G23" s="12">
        <f ca="1">MROUND(RANDBETWEEN(1500,850000),100)</f>
        <v>230900</v>
      </c>
      <c r="H23" s="12">
        <f ca="1">F23*G23</f>
        <v>7388800</v>
      </c>
      <c r="I23" s="12">
        <f ca="1">ROUND(H23*0.19,0)</f>
        <v>1403872</v>
      </c>
      <c r="J23" s="12">
        <f ca="1">H23+I23</f>
        <v>8792672</v>
      </c>
      <c r="K23" s="13">
        <f ca="1">IF(RANDBETWEEN(0,1)=0,0.025,0.035)</f>
        <v>3.5000000000000003E-2</v>
      </c>
      <c r="L23" s="12">
        <f ca="1">ROUND(H23*K23,0)</f>
        <v>258608</v>
      </c>
      <c r="M23" s="14">
        <f>0.01104</f>
        <v>1.1039999999999999E-2</v>
      </c>
      <c r="N23" s="12">
        <f ca="1">ROUND(H23*M23,0)</f>
        <v>81572</v>
      </c>
      <c r="O23" s="12">
        <f ca="1">J23-L23-N23</f>
        <v>8452492</v>
      </c>
      <c r="R23" t="s">
        <v>35</v>
      </c>
    </row>
    <row r="24" spans="1:18" x14ac:dyDescent="0.35">
      <c r="A24" s="9" t="str">
        <f>"FE-"&amp;TEXT(1000+ROW()-1,"0000")</f>
        <v>FE-1023</v>
      </c>
      <c r="B24" s="10">
        <f ca="1">DATE(2026,1,1)+RANDBETWEEN(0,119)</f>
        <v>46098</v>
      </c>
      <c r="C24" s="9" t="str" cm="1">
        <f t="array" aca="1" ref="C24" ca="1">INDEX($Q$2:$Q$16,RANDBETWEEN(1,15))</f>
        <v>Ferromax Colombia S.A.S.</v>
      </c>
      <c r="D24" s="86" t="str">
        <f ca="1">VLOOKUP(C24,$R$2:$S$16,2,FALSE)</f>
        <v>901.234.567-2</v>
      </c>
      <c r="E24" s="9" t="str" cm="1">
        <f t="array" aca="1" ref="E24" ca="1">INDEX($R$2:$R$31,RANDBETWEEN(1,30))</f>
        <v>Cemento blanco x 5 kg</v>
      </c>
      <c r="F24" s="11">
        <f ca="1">RANDBETWEEN(1,50)</f>
        <v>44</v>
      </c>
      <c r="G24" s="12">
        <f ca="1">MROUND(RANDBETWEEN(1500,850000),100)</f>
        <v>353800</v>
      </c>
      <c r="H24" s="12">
        <f ca="1">F24*G24</f>
        <v>15567200</v>
      </c>
      <c r="I24" s="12">
        <f ca="1">ROUND(H24*0.19,0)</f>
        <v>2957768</v>
      </c>
      <c r="J24" s="12">
        <f ca="1">H24+I24</f>
        <v>18524968</v>
      </c>
      <c r="K24" s="13">
        <f ca="1">IF(RANDBETWEEN(0,1)=0,0.025,0.035)</f>
        <v>2.5000000000000001E-2</v>
      </c>
      <c r="L24" s="12">
        <f ca="1">ROUND(H24*K24,0)</f>
        <v>389180</v>
      </c>
      <c r="M24" s="14">
        <f>0.01104</f>
        <v>1.1039999999999999E-2</v>
      </c>
      <c r="N24" s="12">
        <f ca="1">ROUND(H24*M24,0)</f>
        <v>171862</v>
      </c>
      <c r="O24" s="12">
        <f ca="1">J24-L24-N24</f>
        <v>17963926</v>
      </c>
      <c r="R24" t="s">
        <v>36</v>
      </c>
    </row>
    <row r="25" spans="1:18" x14ac:dyDescent="0.35">
      <c r="A25" s="9" t="str">
        <f>"FE-"&amp;TEXT(1000+ROW()-1,"0000")</f>
        <v>FE-1024</v>
      </c>
      <c r="B25" s="10">
        <f ca="1">DATE(2026,1,1)+RANDBETWEEN(0,119)</f>
        <v>46051</v>
      </c>
      <c r="C25" s="9" t="str" cm="1">
        <f t="array" aca="1" ref="C25" ca="1">INDEX($Q$2:$Q$16,RANDBETWEEN(1,15))</f>
        <v>Tornillería Nacional del Valle de Aburrá</v>
      </c>
      <c r="D25" s="86" t="str">
        <f ca="1">VLOOKUP(C25,$R$2:$S$16,2,FALSE)</f>
        <v>900.890.123-8</v>
      </c>
      <c r="E25" s="9" t="str" cm="1">
        <f t="array" aca="1" ref="E25" ca="1">INDEX($R$2:$R$31,RANDBETWEEN(1,30))</f>
        <v>Esmeril angular 4-1/2" 850W</v>
      </c>
      <c r="F25" s="11">
        <f ca="1">RANDBETWEEN(1,50)</f>
        <v>22</v>
      </c>
      <c r="G25" s="12">
        <f ca="1">MROUND(RANDBETWEEN(1500,850000),100)</f>
        <v>136000</v>
      </c>
      <c r="H25" s="12">
        <f ca="1">F25*G25</f>
        <v>2992000</v>
      </c>
      <c r="I25" s="12">
        <f ca="1">ROUND(H25*0.19,0)</f>
        <v>568480</v>
      </c>
      <c r="J25" s="12">
        <f ca="1">H25+I25</f>
        <v>3560480</v>
      </c>
      <c r="K25" s="13">
        <f ca="1">IF(RANDBETWEEN(0,1)=0,0.025,0.035)</f>
        <v>3.5000000000000003E-2</v>
      </c>
      <c r="L25" s="12">
        <f ca="1">ROUND(H25*K25,0)</f>
        <v>104720</v>
      </c>
      <c r="M25" s="14">
        <f>0.01104</f>
        <v>1.1039999999999999E-2</v>
      </c>
      <c r="N25" s="12">
        <f ca="1">ROUND(H25*M25,0)</f>
        <v>33032</v>
      </c>
      <c r="O25" s="12">
        <f ca="1">J25-L25-N25</f>
        <v>3422728</v>
      </c>
      <c r="R25" t="s">
        <v>37</v>
      </c>
    </row>
    <row r="26" spans="1:18" x14ac:dyDescent="0.35">
      <c r="A26" s="9" t="str">
        <f>"FE-"&amp;TEXT(1000+ROW()-1,"0000")</f>
        <v>FE-1025</v>
      </c>
      <c r="B26" s="10">
        <f ca="1">DATE(2026,1,1)+RANDBETWEEN(0,119)</f>
        <v>46032</v>
      </c>
      <c r="C26" s="9" t="str" cm="1">
        <f t="array" aca="1" ref="C26" ca="1">INDEX($Q$2:$Q$16,RANDBETWEEN(1,15))</f>
        <v>El Constructor S.A.S.</v>
      </c>
      <c r="D26" s="86" t="str">
        <f ca="1">VLOOKUP(C26,$R$2:$S$16,2,FALSE)</f>
        <v>901.123.456-1</v>
      </c>
      <c r="E26" s="9" t="str" cm="1">
        <f t="array" aca="1" ref="E26" ca="1">INDEX($R$2:$R$31,RANDBETWEEN(1,30))</f>
        <v>Bloque de concreto 10x20x40</v>
      </c>
      <c r="F26" s="11">
        <f ca="1">RANDBETWEEN(1,50)</f>
        <v>36</v>
      </c>
      <c r="G26" s="12">
        <f ca="1">MROUND(RANDBETWEEN(1500,850000),100)</f>
        <v>20700</v>
      </c>
      <c r="H26" s="12">
        <f ca="1">F26*G26</f>
        <v>745200</v>
      </c>
      <c r="I26" s="12">
        <f ca="1">ROUND(H26*0.19,0)</f>
        <v>141588</v>
      </c>
      <c r="J26" s="12">
        <f ca="1">H26+I26</f>
        <v>886788</v>
      </c>
      <c r="K26" s="13">
        <f ca="1">IF(RANDBETWEEN(0,1)=0,0.025,0.035)</f>
        <v>2.5000000000000001E-2</v>
      </c>
      <c r="L26" s="12">
        <f ca="1">ROUND(H26*K26,0)</f>
        <v>18630</v>
      </c>
      <c r="M26" s="14">
        <f>0.01104</f>
        <v>1.1039999999999999E-2</v>
      </c>
      <c r="N26" s="12">
        <f ca="1">ROUND(H26*M26,0)</f>
        <v>8227</v>
      </c>
      <c r="O26" s="12">
        <f ca="1">J26-L26-N26</f>
        <v>859931</v>
      </c>
      <c r="R26" t="s">
        <v>38</v>
      </c>
    </row>
    <row r="27" spans="1:18" x14ac:dyDescent="0.35">
      <c r="A27" s="9" t="str">
        <f>"FE-"&amp;TEXT(1000+ROW()-1,"0000")</f>
        <v>FE-1026</v>
      </c>
      <c r="B27" s="10">
        <f ca="1">DATE(2026,1,1)+RANDBETWEEN(0,119)</f>
        <v>46096</v>
      </c>
      <c r="C27" s="9" t="str" cm="1">
        <f t="array" aca="1" ref="C27" ca="1">INDEX($Q$2:$Q$16,RANDBETWEEN(1,15))</f>
        <v>Suministros Ferreteros La 80 Ltda.</v>
      </c>
      <c r="D27" s="86" t="str">
        <f ca="1">VLOOKUP(C27,$R$2:$S$16,2,FALSE)</f>
        <v>900.678.901-6</v>
      </c>
      <c r="E27" s="9" t="str" cm="1">
        <f t="array" aca="1" ref="E27" ca="1">INDEX($R$2:$R$31,RANDBETWEEN(1,30))</f>
        <v>Lámina de drywall 1.22x2.44m</v>
      </c>
      <c r="F27" s="11">
        <f ca="1">RANDBETWEEN(1,50)</f>
        <v>15</v>
      </c>
      <c r="G27" s="12">
        <f ca="1">MROUND(RANDBETWEEN(1500,850000),100)</f>
        <v>426400</v>
      </c>
      <c r="H27" s="12">
        <f ca="1">F27*G27</f>
        <v>6396000</v>
      </c>
      <c r="I27" s="12">
        <f ca="1">ROUND(H27*0.19,0)</f>
        <v>1215240</v>
      </c>
      <c r="J27" s="12">
        <f ca="1">H27+I27</f>
        <v>7611240</v>
      </c>
      <c r="K27" s="13">
        <f ca="1">IF(RANDBETWEEN(0,1)=0,0.025,0.035)</f>
        <v>3.5000000000000003E-2</v>
      </c>
      <c r="L27" s="12">
        <f ca="1">ROUND(H27*K27,0)</f>
        <v>223860</v>
      </c>
      <c r="M27" s="14">
        <f>0.01104</f>
        <v>1.1039999999999999E-2</v>
      </c>
      <c r="N27" s="12">
        <f ca="1">ROUND(H27*M27,0)</f>
        <v>70612</v>
      </c>
      <c r="O27" s="12">
        <f ca="1">J27-L27-N27</f>
        <v>7316768</v>
      </c>
      <c r="R27" t="s">
        <v>39</v>
      </c>
    </row>
    <row r="28" spans="1:18" x14ac:dyDescent="0.35">
      <c r="A28" s="9" t="str">
        <f>"FE-"&amp;TEXT(1000+ROW()-1,"0000")</f>
        <v>FE-1027</v>
      </c>
      <c r="B28" s="10">
        <f ca="1">DATE(2026,1,1)+RANDBETWEEN(0,119)</f>
        <v>46057</v>
      </c>
      <c r="C28" s="9" t="str" cm="1">
        <f t="array" aca="1" ref="C28" ca="1">INDEX($Q$2:$Q$16,RANDBETWEEN(1,15))</f>
        <v>Materiales La Estrella S.A.S.</v>
      </c>
      <c r="D28" s="86" t="str">
        <f ca="1">VLOOKUP(C28,$R$2:$S$16,2,FALSE)</f>
        <v>901.345.678-3</v>
      </c>
      <c r="E28" s="9" t="str" cm="1">
        <f t="array" aca="1" ref="E28" ca="1">INDEX($R$2:$R$31,RANDBETWEEN(1,30))</f>
        <v>Tornillería Nacional del Valle de Aburrá</v>
      </c>
      <c r="F28" s="11">
        <f ca="1">RANDBETWEEN(1,50)</f>
        <v>1</v>
      </c>
      <c r="G28" s="12">
        <f ca="1">MROUND(RANDBETWEEN(1500,850000),100)</f>
        <v>218000</v>
      </c>
      <c r="H28" s="12">
        <f ca="1">F28*G28</f>
        <v>218000</v>
      </c>
      <c r="I28" s="12">
        <f ca="1">ROUND(H28*0.19,0)</f>
        <v>41420</v>
      </c>
      <c r="J28" s="12">
        <f ca="1">H28+I28</f>
        <v>259420</v>
      </c>
      <c r="K28" s="13">
        <f ca="1">IF(RANDBETWEEN(0,1)=0,0.025,0.035)</f>
        <v>2.5000000000000001E-2</v>
      </c>
      <c r="L28" s="12">
        <f ca="1">ROUND(H28*K28,0)</f>
        <v>5450</v>
      </c>
      <c r="M28" s="14">
        <f>0.01104</f>
        <v>1.1039999999999999E-2</v>
      </c>
      <c r="N28" s="12">
        <f ca="1">ROUND(H28*M28,0)</f>
        <v>2407</v>
      </c>
      <c r="O28" s="12">
        <f ca="1">J28-L28-N28</f>
        <v>251563</v>
      </c>
      <c r="R28" t="s">
        <v>40</v>
      </c>
    </row>
    <row r="29" spans="1:18" x14ac:dyDescent="0.35">
      <c r="A29" s="9" t="str">
        <f>"FE-"&amp;TEXT(1000+ROW()-1,"0000")</f>
        <v>FE-1028</v>
      </c>
      <c r="B29" s="10">
        <f ca="1">DATE(2026,1,1)+RANDBETWEEN(0,119)</f>
        <v>46090</v>
      </c>
      <c r="C29" s="9" t="str" cm="1">
        <f t="array" aca="1" ref="C29" ca="1">INDEX($Q$2:$Q$16,RANDBETWEEN(1,15))</f>
        <v>Acabados y Construcción Poblado S.A.S.</v>
      </c>
      <c r="D29" s="86" t="str">
        <f ca="1">VLOOKUP(C29,$R$2:$S$16,2,FALSE)</f>
        <v>901.567.890-5</v>
      </c>
      <c r="E29" s="9" t="str" cm="1">
        <f t="array" aca="1" ref="E29" ca="1">INDEX($R$2:$R$31,RANDBETWEEN(1,30))</f>
        <v>El Constructor S.A.S.</v>
      </c>
      <c r="F29" s="11">
        <f ca="1">RANDBETWEEN(1,50)</f>
        <v>9</v>
      </c>
      <c r="G29" s="12">
        <f ca="1">MROUND(RANDBETWEEN(1500,850000),100)</f>
        <v>428800</v>
      </c>
      <c r="H29" s="12">
        <f ca="1">F29*G29</f>
        <v>3859200</v>
      </c>
      <c r="I29" s="12">
        <f ca="1">ROUND(H29*0.19,0)</f>
        <v>733248</v>
      </c>
      <c r="J29" s="12">
        <f ca="1">H29+I29</f>
        <v>4592448</v>
      </c>
      <c r="K29" s="13">
        <f ca="1">IF(RANDBETWEEN(0,1)=0,0.025,0.035)</f>
        <v>3.5000000000000003E-2</v>
      </c>
      <c r="L29" s="12">
        <f ca="1">ROUND(H29*K29,0)</f>
        <v>135072</v>
      </c>
      <c r="M29" s="14">
        <f>0.01104</f>
        <v>1.1039999999999999E-2</v>
      </c>
      <c r="N29" s="12">
        <f ca="1">ROUND(H29*M29,0)</f>
        <v>42606</v>
      </c>
      <c r="O29" s="12">
        <f ca="1">J29-L29-N29</f>
        <v>4414770</v>
      </c>
      <c r="R29" t="s">
        <v>41</v>
      </c>
    </row>
    <row r="30" spans="1:18" x14ac:dyDescent="0.35">
      <c r="A30" s="9" t="str">
        <f>"FE-"&amp;TEXT(1000+ROW()-1,"0000")</f>
        <v>FE-1029</v>
      </c>
      <c r="B30" s="10">
        <f ca="1">DATE(2026,1,1)+RANDBETWEEN(0,119)</f>
        <v>46090</v>
      </c>
      <c r="C30" s="9" t="str" cm="1">
        <f t="array" aca="1" ref="C30" ca="1">INDEX($Q$2:$Q$16,RANDBETWEEN(1,15))</f>
        <v>Acabados y Construcción Poblado S.A.S.</v>
      </c>
      <c r="D30" s="86" t="str">
        <f ca="1">VLOOKUP(C30,$R$2:$S$16,2,FALSE)</f>
        <v>901.567.890-5</v>
      </c>
      <c r="E30" s="9" t="str" cm="1">
        <f t="array" aca="1" ref="E30" ca="1">INDEX($R$2:$R$31,RANDBETWEEN(1,30))</f>
        <v>Casco de seguridad industrial</v>
      </c>
      <c r="F30" s="11">
        <f ca="1">RANDBETWEEN(1,50)</f>
        <v>10</v>
      </c>
      <c r="G30" s="12">
        <f ca="1">MROUND(RANDBETWEEN(1500,850000),100)</f>
        <v>648800</v>
      </c>
      <c r="H30" s="12">
        <f ca="1">F30*G30</f>
        <v>6488000</v>
      </c>
      <c r="I30" s="12">
        <f ca="1">ROUND(H30*0.19,0)</f>
        <v>1232720</v>
      </c>
      <c r="J30" s="12">
        <f ca="1">H30+I30</f>
        <v>7720720</v>
      </c>
      <c r="K30" s="13">
        <f ca="1">IF(RANDBETWEEN(0,1)=0,0.025,0.035)</f>
        <v>2.5000000000000001E-2</v>
      </c>
      <c r="L30" s="12">
        <f ca="1">ROUND(H30*K30,0)</f>
        <v>162200</v>
      </c>
      <c r="M30" s="14">
        <f>0.01104</f>
        <v>1.1039999999999999E-2</v>
      </c>
      <c r="N30" s="12">
        <f ca="1">ROUND(H30*M30,0)</f>
        <v>71628</v>
      </c>
      <c r="O30" s="12">
        <f ca="1">J30-L30-N30</f>
        <v>7486892</v>
      </c>
      <c r="R30" t="s">
        <v>42</v>
      </c>
    </row>
    <row r="31" spans="1:18" x14ac:dyDescent="0.35">
      <c r="A31" s="9" t="str">
        <f>"FE-"&amp;TEXT(1000+ROW()-1,"0000")</f>
        <v>FE-1030</v>
      </c>
      <c r="B31" s="10">
        <f ca="1">DATE(2026,1,1)+RANDBETWEEN(0,119)</f>
        <v>46035</v>
      </c>
      <c r="C31" s="9" t="str" cm="1">
        <f t="array" aca="1" ref="C31" ca="1">INDEX($Q$2:$Q$16,RANDBETWEEN(1,15))</f>
        <v>Ferromax Colombia S.A.S.</v>
      </c>
      <c r="D31" s="86" t="str">
        <f ca="1">VLOOKUP(C31,$R$2:$S$16,2,FALSE)</f>
        <v>901.234.567-2</v>
      </c>
      <c r="E31" s="9" t="str" cm="1">
        <f t="array" aca="1" ref="E31" ca="1">INDEX($R$2:$R$31,RANDBETWEEN(1,30))</f>
        <v>Lámina de drywall 1.22x2.44m</v>
      </c>
      <c r="F31" s="11">
        <f ca="1">RANDBETWEEN(1,50)</f>
        <v>2</v>
      </c>
      <c r="G31" s="12">
        <f ca="1">MROUND(RANDBETWEEN(1500,850000),100)</f>
        <v>534500</v>
      </c>
      <c r="H31" s="12">
        <f ca="1">F31*G31</f>
        <v>1069000</v>
      </c>
      <c r="I31" s="12">
        <f ca="1">ROUND(H31*0.19,0)</f>
        <v>203110</v>
      </c>
      <c r="J31" s="12">
        <f ca="1">H31+I31</f>
        <v>1272110</v>
      </c>
      <c r="K31" s="13">
        <f ca="1">IF(RANDBETWEEN(0,1)=0,0.025,0.035)</f>
        <v>3.5000000000000003E-2</v>
      </c>
      <c r="L31" s="12">
        <f ca="1">ROUND(H31*K31,0)</f>
        <v>37415</v>
      </c>
      <c r="M31" s="14">
        <f>0.01104</f>
        <v>1.1039999999999999E-2</v>
      </c>
      <c r="N31" s="12">
        <f ca="1">ROUND(H31*M31,0)</f>
        <v>11802</v>
      </c>
      <c r="O31" s="12">
        <f ca="1">J31-L31-N31</f>
        <v>1222893</v>
      </c>
      <c r="R31" t="s">
        <v>43</v>
      </c>
    </row>
    <row r="32" spans="1:18" x14ac:dyDescent="0.35">
      <c r="A32" s="9" t="str">
        <f>"FE-"&amp;TEXT(1000+ROW()-1,"0000")</f>
        <v>FE-1031</v>
      </c>
      <c r="B32" s="10">
        <f ca="1">DATE(2026,1,1)+RANDBETWEEN(0,119)</f>
        <v>46139</v>
      </c>
      <c r="C32" s="9" t="str" cm="1">
        <f t="array" aca="1" ref="C32" ca="1">INDEX($Q$2:$Q$16,RANDBETWEEN(1,15))</f>
        <v>Herramientas Industriales Medellín S.A.S.</v>
      </c>
      <c r="D32" s="86" t="str">
        <f ca="1">VLOOKUP(C32,$R$2:$S$16,2,FALSE)</f>
        <v>900.567.890-5</v>
      </c>
      <c r="E32" s="9" t="str" cm="1">
        <f t="array" aca="1" ref="E32" ca="1">INDEX($R$2:$R$31,RANDBETWEEN(1,30))</f>
        <v>Teja eternit ondulada No. 6</v>
      </c>
      <c r="F32" s="11">
        <f ca="1">RANDBETWEEN(1,50)</f>
        <v>45</v>
      </c>
      <c r="G32" s="12">
        <f ca="1">MROUND(RANDBETWEEN(1500,850000),100)</f>
        <v>644400</v>
      </c>
      <c r="H32" s="12">
        <f ca="1">F32*G32</f>
        <v>28998000</v>
      </c>
      <c r="I32" s="12">
        <f ca="1">ROUND(H32*0.19,0)</f>
        <v>5509620</v>
      </c>
      <c r="J32" s="12">
        <f ca="1">H32+I32</f>
        <v>34507620</v>
      </c>
      <c r="K32" s="13">
        <f ca="1">IF(RANDBETWEEN(0,1)=0,0.025,0.035)</f>
        <v>3.5000000000000003E-2</v>
      </c>
      <c r="L32" s="12">
        <f ca="1">ROUND(H32*K32,0)</f>
        <v>1014930</v>
      </c>
      <c r="M32" s="14">
        <f>0.01104</f>
        <v>1.1039999999999999E-2</v>
      </c>
      <c r="N32" s="12">
        <f ca="1">ROUND(H32*M32,0)</f>
        <v>320138</v>
      </c>
      <c r="O32" s="12">
        <f ca="1">J32-L32-N32</f>
        <v>33172552</v>
      </c>
    </row>
    <row r="33" spans="1:15" x14ac:dyDescent="0.35">
      <c r="A33" s="9" t="str">
        <f>"FE-"&amp;TEXT(1000+ROW()-1,"0000")</f>
        <v>FE-1032</v>
      </c>
      <c r="B33" s="10">
        <f ca="1">DATE(2026,1,1)+RANDBETWEEN(0,119)</f>
        <v>46041</v>
      </c>
      <c r="C33" s="9" t="str" cm="1">
        <f t="array" aca="1" ref="C33" ca="1">INDEX($Q$2:$Q$16,RANDBETWEEN(1,15))</f>
        <v>Acabados y Construcción Poblado S.A.S.</v>
      </c>
      <c r="D33" s="86" t="str">
        <f ca="1">VLOOKUP(C33,$R$2:$S$16,2,FALSE)</f>
        <v>901.567.890-5</v>
      </c>
      <c r="E33" s="9" t="str" cm="1">
        <f t="array" aca="1" ref="E33" ca="1">INDEX($R$2:$R$31,RANDBETWEEN(1,30))</f>
        <v>Casco de seguridad industrial</v>
      </c>
      <c r="F33" s="11">
        <f ca="1">RANDBETWEEN(1,50)</f>
        <v>11</v>
      </c>
      <c r="G33" s="12">
        <f ca="1">MROUND(RANDBETWEEN(1500,850000),100)</f>
        <v>630600</v>
      </c>
      <c r="H33" s="12">
        <f ca="1">F33*G33</f>
        <v>6936600</v>
      </c>
      <c r="I33" s="12">
        <f ca="1">ROUND(H33*0.19,0)</f>
        <v>1317954</v>
      </c>
      <c r="J33" s="12">
        <f ca="1">H33+I33</f>
        <v>8254554</v>
      </c>
      <c r="K33" s="13">
        <f ca="1">IF(RANDBETWEEN(0,1)=0,0.025,0.035)</f>
        <v>3.5000000000000003E-2</v>
      </c>
      <c r="L33" s="12">
        <f ca="1">ROUND(H33*K33,0)</f>
        <v>242781</v>
      </c>
      <c r="M33" s="14">
        <f>0.01104</f>
        <v>1.1039999999999999E-2</v>
      </c>
      <c r="N33" s="12">
        <f ca="1">ROUND(H33*M33,0)</f>
        <v>76580</v>
      </c>
      <c r="O33" s="12">
        <f ca="1">J33-L33-N33</f>
        <v>7935193</v>
      </c>
    </row>
    <row r="34" spans="1:15" x14ac:dyDescent="0.35">
      <c r="A34" s="9" t="str">
        <f>"FE-"&amp;TEXT(1000+ROW()-1,"0000")</f>
        <v>FE-1033</v>
      </c>
      <c r="B34" s="10">
        <f ca="1">DATE(2026,1,1)+RANDBETWEEN(0,119)</f>
        <v>46110</v>
      </c>
      <c r="C34" s="9" t="str" cm="1">
        <f t="array" aca="1" ref="C34" ca="1">INDEX($Q$2:$Q$16,RANDBETWEEN(1,15))</f>
        <v>Materiales La Estrella S.A.S.</v>
      </c>
      <c r="D34" s="86" t="str">
        <f ca="1">VLOOKUP(C34,$R$2:$S$16,2,FALSE)</f>
        <v>901.345.678-3</v>
      </c>
      <c r="E34" s="9" t="str" cm="1">
        <f t="array" aca="1" ref="E34" ca="1">INDEX($R$2:$R$31,RANDBETWEEN(1,30))</f>
        <v>Tubos y Conexiones Envigado Ltda.</v>
      </c>
      <c r="F34" s="11">
        <f ca="1">RANDBETWEEN(1,50)</f>
        <v>1</v>
      </c>
      <c r="G34" s="12">
        <f ca="1">MROUND(RANDBETWEEN(1500,850000),100)</f>
        <v>459200</v>
      </c>
      <c r="H34" s="12">
        <f ca="1">F34*G34</f>
        <v>459200</v>
      </c>
      <c r="I34" s="12">
        <f ca="1">ROUND(H34*0.19,0)</f>
        <v>87248</v>
      </c>
      <c r="J34" s="12">
        <f ca="1">H34+I34</f>
        <v>546448</v>
      </c>
      <c r="K34" s="13">
        <f ca="1">IF(RANDBETWEEN(0,1)=0,0.025,0.035)</f>
        <v>3.5000000000000003E-2</v>
      </c>
      <c r="L34" s="12">
        <f ca="1">ROUND(H34*K34,0)</f>
        <v>16072</v>
      </c>
      <c r="M34" s="14">
        <f>0.01104</f>
        <v>1.1039999999999999E-2</v>
      </c>
      <c r="N34" s="12">
        <f ca="1">ROUND(H34*M34,0)</f>
        <v>5070</v>
      </c>
      <c r="O34" s="12">
        <f ca="1">J34-L34-N34</f>
        <v>525306</v>
      </c>
    </row>
    <row r="35" spans="1:15" x14ac:dyDescent="0.35">
      <c r="A35" s="9" t="str">
        <f>"FE-"&amp;TEXT(1000+ROW()-1,"0000")</f>
        <v>FE-1034</v>
      </c>
      <c r="B35" s="10">
        <f ca="1">DATE(2026,1,1)+RANDBETWEEN(0,119)</f>
        <v>46098</v>
      </c>
      <c r="C35" s="9" t="str" cm="1">
        <f t="array" aca="1" ref="C35" ca="1">INDEX($Q$2:$Q$16,RANDBETWEEN(1,15))</f>
        <v>Hierros y Mallas Bello S.A.S.</v>
      </c>
      <c r="D35" s="86" t="str">
        <f ca="1">VLOOKUP(C35,$R$2:$S$16,2,FALSE)</f>
        <v>900.901.234-9</v>
      </c>
      <c r="E35" s="9" t="str" cm="1">
        <f t="array" aca="1" ref="E35" ca="1">INDEX($R$2:$R$31,RANDBETWEEN(1,30))</f>
        <v>Suministros Ferreteros La 80 Ltda.</v>
      </c>
      <c r="F35" s="11">
        <f ca="1">RANDBETWEEN(1,50)</f>
        <v>32</v>
      </c>
      <c r="G35" s="12">
        <f ca="1">MROUND(RANDBETWEEN(1500,850000),100)</f>
        <v>261100</v>
      </c>
      <c r="H35" s="12">
        <f ca="1">F35*G35</f>
        <v>8355200</v>
      </c>
      <c r="I35" s="12">
        <f ca="1">ROUND(H35*0.19,0)</f>
        <v>1587488</v>
      </c>
      <c r="J35" s="12">
        <f ca="1">H35+I35</f>
        <v>9942688</v>
      </c>
      <c r="K35" s="13">
        <f ca="1">IF(RANDBETWEEN(0,1)=0,0.025,0.035)</f>
        <v>2.5000000000000001E-2</v>
      </c>
      <c r="L35" s="12">
        <f ca="1">ROUND(H35*K35,0)</f>
        <v>208880</v>
      </c>
      <c r="M35" s="14">
        <f>0.01104</f>
        <v>1.1039999999999999E-2</v>
      </c>
      <c r="N35" s="12">
        <f ca="1">ROUND(H35*M35,0)</f>
        <v>92241</v>
      </c>
      <c r="O35" s="12">
        <f ca="1">J35-L35-N35</f>
        <v>9641567</v>
      </c>
    </row>
    <row r="36" spans="1:15" x14ac:dyDescent="0.35">
      <c r="A36" s="9" t="str">
        <f>"FE-"&amp;TEXT(1000+ROW()-1,"0000")</f>
        <v>FE-1035</v>
      </c>
      <c r="B36" s="10">
        <f ca="1">DATE(2026,1,1)+RANDBETWEEN(0,119)</f>
        <v>46031</v>
      </c>
      <c r="C36" s="9" t="str" cm="1">
        <f t="array" aca="1" ref="C36" ca="1">INDEX($Q$2:$Q$16,RANDBETWEEN(1,15))</f>
        <v>Tubos y Conexiones Envigado Ltda.</v>
      </c>
      <c r="D36" s="86" t="str">
        <f ca="1">VLOOKUP(C36,$R$2:$S$16,2,FALSE)</f>
        <v>901.012.345-0</v>
      </c>
      <c r="E36" s="9" t="str" cm="1">
        <f t="array" aca="1" ref="E36" ca="1">INDEX($R$2:$R$31,RANDBETWEEN(1,30))</f>
        <v>Ferretería Antioqueña Ltda.</v>
      </c>
      <c r="F36" s="11">
        <f ca="1">RANDBETWEEN(1,50)</f>
        <v>36</v>
      </c>
      <c r="G36" s="12">
        <f ca="1">MROUND(RANDBETWEEN(1500,850000),100)</f>
        <v>796400</v>
      </c>
      <c r="H36" s="12">
        <f ca="1">F36*G36</f>
        <v>28670400</v>
      </c>
      <c r="I36" s="12">
        <f ca="1">ROUND(H36*0.19,0)</f>
        <v>5447376</v>
      </c>
      <c r="J36" s="12">
        <f ca="1">H36+I36</f>
        <v>34117776</v>
      </c>
      <c r="K36" s="13">
        <f ca="1">IF(RANDBETWEEN(0,1)=0,0.025,0.035)</f>
        <v>2.5000000000000001E-2</v>
      </c>
      <c r="L36" s="12">
        <f ca="1">ROUND(H36*K36,0)</f>
        <v>716760</v>
      </c>
      <c r="M36" s="14">
        <f>0.01104</f>
        <v>1.1039999999999999E-2</v>
      </c>
      <c r="N36" s="12">
        <f ca="1">ROUND(H36*M36,0)</f>
        <v>316521</v>
      </c>
      <c r="O36" s="12">
        <f ca="1">J36-L36-N36</f>
        <v>33084495</v>
      </c>
    </row>
    <row r="37" spans="1:15" x14ac:dyDescent="0.35">
      <c r="A37" s="9" t="str">
        <f>"FE-"&amp;TEXT(1000+ROW()-1,"0000")</f>
        <v>FE-1036</v>
      </c>
      <c r="B37" s="10">
        <f ca="1">DATE(2026,1,1)+RANDBETWEEN(0,119)</f>
        <v>46136</v>
      </c>
      <c r="C37" s="9" t="str" cm="1">
        <f t="array" aca="1" ref="C37" ca="1">INDEX($Q$2:$Q$16,RANDBETWEEN(1,15))</f>
        <v>Ferromax Colombia S.A.S.</v>
      </c>
      <c r="D37" s="86" t="str">
        <f ca="1">VLOOKUP(C37,$R$2:$S$16,2,FALSE)</f>
        <v>901.234.567-2</v>
      </c>
      <c r="E37" s="9" t="str" cm="1">
        <f t="array" aca="1" ref="E37" ca="1">INDEX($R$2:$R$31,RANDBETWEEN(1,30))</f>
        <v>Acabados y Construcción Poblado S.A.S.</v>
      </c>
      <c r="F37" s="11">
        <f ca="1">RANDBETWEEN(1,50)</f>
        <v>11</v>
      </c>
      <c r="G37" s="12">
        <f ca="1">MROUND(RANDBETWEEN(1500,850000),100)</f>
        <v>329500</v>
      </c>
      <c r="H37" s="12">
        <f ca="1">F37*G37</f>
        <v>3624500</v>
      </c>
      <c r="I37" s="12">
        <f ca="1">ROUND(H37*0.19,0)</f>
        <v>688655</v>
      </c>
      <c r="J37" s="12">
        <f ca="1">H37+I37</f>
        <v>4313155</v>
      </c>
      <c r="K37" s="13">
        <f ca="1">IF(RANDBETWEEN(0,1)=0,0.025,0.035)</f>
        <v>2.5000000000000001E-2</v>
      </c>
      <c r="L37" s="12">
        <f ca="1">ROUND(H37*K37,0)</f>
        <v>90613</v>
      </c>
      <c r="M37" s="14">
        <f>0.01104</f>
        <v>1.1039999999999999E-2</v>
      </c>
      <c r="N37" s="12">
        <f ca="1">ROUND(H37*M37,0)</f>
        <v>40014</v>
      </c>
      <c r="O37" s="12">
        <f ca="1">J37-L37-N37</f>
        <v>4182528</v>
      </c>
    </row>
    <row r="38" spans="1:15" x14ac:dyDescent="0.35">
      <c r="A38" s="9" t="str">
        <f>"FE-"&amp;TEXT(1000+ROW()-1,"0000")</f>
        <v>FE-1037</v>
      </c>
      <c r="B38" s="10">
        <f ca="1">DATE(2026,1,1)+RANDBETWEEN(0,119)</f>
        <v>46109</v>
      </c>
      <c r="C38" s="9" t="str" cm="1">
        <f t="array" aca="1" ref="C38" ca="1">INDEX($Q$2:$Q$16,RANDBETWEEN(1,15))</f>
        <v>Ferromax Colombia S.A.S.</v>
      </c>
      <c r="D38" s="86" t="str">
        <f ca="1">VLOOKUP(C38,$R$2:$S$16,2,FALSE)</f>
        <v>901.234.567-2</v>
      </c>
      <c r="E38" s="9" t="str" cm="1">
        <f t="array" aca="1" ref="E38" ca="1">INDEX($R$2:$R$31,RANDBETWEEN(1,30))</f>
        <v>El Constructor S.A.S.</v>
      </c>
      <c r="F38" s="11">
        <f ca="1">RANDBETWEEN(1,50)</f>
        <v>50</v>
      </c>
      <c r="G38" s="12">
        <f ca="1">MROUND(RANDBETWEEN(1500,850000),100)</f>
        <v>515900</v>
      </c>
      <c r="H38" s="12">
        <f ca="1">F38*G38</f>
        <v>25795000</v>
      </c>
      <c r="I38" s="12">
        <f ca="1">ROUND(H38*0.19,0)</f>
        <v>4901050</v>
      </c>
      <c r="J38" s="12">
        <f ca="1">H38+I38</f>
        <v>30696050</v>
      </c>
      <c r="K38" s="13">
        <f ca="1">IF(RANDBETWEEN(0,1)=0,0.025,0.035)</f>
        <v>2.5000000000000001E-2</v>
      </c>
      <c r="L38" s="12">
        <f ca="1">ROUND(H38*K38,0)</f>
        <v>644875</v>
      </c>
      <c r="M38" s="14">
        <f>0.01104</f>
        <v>1.1039999999999999E-2</v>
      </c>
      <c r="N38" s="12">
        <f ca="1">ROUND(H38*M38,0)</f>
        <v>284777</v>
      </c>
      <c r="O38" s="12">
        <f ca="1">J38-L38-N38</f>
        <v>29766398</v>
      </c>
    </row>
    <row r="39" spans="1:15" x14ac:dyDescent="0.35">
      <c r="A39" s="9" t="str">
        <f>"FE-"&amp;TEXT(1000+ROW()-1,"0000")</f>
        <v>FE-1038</v>
      </c>
      <c r="B39" s="10">
        <f ca="1">DATE(2026,1,1)+RANDBETWEEN(0,119)</f>
        <v>46132</v>
      </c>
      <c r="C39" s="9" t="str" cm="1">
        <f t="array" aca="1" ref="C39" ca="1">INDEX($Q$2:$Q$16,RANDBETWEEN(1,15))</f>
        <v>Herramientas Industriales Medellín S.A.S.</v>
      </c>
      <c r="D39" s="86" t="str">
        <f ca="1">VLOOKUP(C39,$R$2:$S$16,2,FALSE)</f>
        <v>900.567.890-5</v>
      </c>
      <c r="E39" s="9" t="str" cm="1">
        <f t="array" aca="1" ref="E39" ca="1">INDEX($R$2:$R$31,RANDBETWEEN(1,30))</f>
        <v>Carretilla buggy reforzada</v>
      </c>
      <c r="F39" s="11">
        <f ca="1">RANDBETWEEN(1,50)</f>
        <v>20</v>
      </c>
      <c r="G39" s="12">
        <f ca="1">MROUND(RANDBETWEEN(1500,850000),100)</f>
        <v>723800</v>
      </c>
      <c r="H39" s="12">
        <f ca="1">F39*G39</f>
        <v>14476000</v>
      </c>
      <c r="I39" s="12">
        <f ca="1">ROUND(H39*0.19,0)</f>
        <v>2750440</v>
      </c>
      <c r="J39" s="12">
        <f ca="1">H39+I39</f>
        <v>17226440</v>
      </c>
      <c r="K39" s="13">
        <f ca="1">IF(RANDBETWEEN(0,1)=0,0.025,0.035)</f>
        <v>2.5000000000000001E-2</v>
      </c>
      <c r="L39" s="12">
        <f ca="1">ROUND(H39*K39,0)</f>
        <v>361900</v>
      </c>
      <c r="M39" s="14">
        <f>0.01104</f>
        <v>1.1039999999999999E-2</v>
      </c>
      <c r="N39" s="12">
        <f ca="1">ROUND(H39*M39,0)</f>
        <v>159815</v>
      </c>
      <c r="O39" s="12">
        <f ca="1">J39-L39-N39</f>
        <v>16704725</v>
      </c>
    </row>
    <row r="40" spans="1:15" x14ac:dyDescent="0.35">
      <c r="A40" s="9" t="str">
        <f>"FE-"&amp;TEXT(1000+ROW()-1,"0000")</f>
        <v>FE-1039</v>
      </c>
      <c r="B40" s="10">
        <f ca="1">DATE(2026,1,1)+RANDBETWEEN(0,119)</f>
        <v>46045</v>
      </c>
      <c r="C40" s="9" t="str" cm="1">
        <f t="array" aca="1" ref="C40" ca="1">INDEX($Q$2:$Q$16,RANDBETWEEN(1,15))</f>
        <v>El Constructor S.A.S.</v>
      </c>
      <c r="D40" s="86" t="str">
        <f ca="1">VLOOKUP(C40,$R$2:$S$16,2,FALSE)</f>
        <v>901.123.456-1</v>
      </c>
      <c r="E40" s="9" t="str" cm="1">
        <f t="array" aca="1" ref="E40" ca="1">INDEX($R$2:$R$31,RANDBETWEEN(1,30))</f>
        <v>El Constructor S.A.S.</v>
      </c>
      <c r="F40" s="11">
        <f ca="1">RANDBETWEEN(1,50)</f>
        <v>12</v>
      </c>
      <c r="G40" s="12">
        <f ca="1">MROUND(RANDBETWEEN(1500,850000),100)</f>
        <v>140700</v>
      </c>
      <c r="H40" s="12">
        <f ca="1">F40*G40</f>
        <v>1688400</v>
      </c>
      <c r="I40" s="12">
        <f ca="1">ROUND(H40*0.19,0)</f>
        <v>320796</v>
      </c>
      <c r="J40" s="12">
        <f ca="1">H40+I40</f>
        <v>2009196</v>
      </c>
      <c r="K40" s="13">
        <f ca="1">IF(RANDBETWEEN(0,1)=0,0.025,0.035)</f>
        <v>3.5000000000000003E-2</v>
      </c>
      <c r="L40" s="12">
        <f ca="1">ROUND(H40*K40,0)</f>
        <v>59094</v>
      </c>
      <c r="M40" s="14">
        <f>0.01104</f>
        <v>1.1039999999999999E-2</v>
      </c>
      <c r="N40" s="12">
        <f ca="1">ROUND(H40*M40,0)</f>
        <v>18640</v>
      </c>
      <c r="O40" s="12">
        <f ca="1">J40-L40-N40</f>
        <v>1931462</v>
      </c>
    </row>
    <row r="41" spans="1:15" x14ac:dyDescent="0.35">
      <c r="A41" s="9" t="str">
        <f>"FE-"&amp;TEXT(1000+ROW()-1,"0000")</f>
        <v>FE-1040</v>
      </c>
      <c r="B41" s="10">
        <f ca="1">DATE(2026,1,1)+RANDBETWEEN(0,119)</f>
        <v>46050</v>
      </c>
      <c r="C41" s="9" t="str" cm="1">
        <f t="array" aca="1" ref="C41" ca="1">INDEX($Q$2:$Q$16,RANDBETWEEN(1,15))</f>
        <v>El Constructor S.A.S.</v>
      </c>
      <c r="D41" s="86" t="str">
        <f ca="1">VLOOKUP(C41,$R$2:$S$16,2,FALSE)</f>
        <v>901.123.456-1</v>
      </c>
      <c r="E41" s="9" t="str" cm="1">
        <f t="array" aca="1" ref="E41" ca="1">INDEX($R$2:$R$31,RANDBETWEEN(1,30))</f>
        <v>Triturado 1/2" - bulto</v>
      </c>
      <c r="F41" s="11">
        <f ca="1">RANDBETWEEN(1,50)</f>
        <v>12</v>
      </c>
      <c r="G41" s="12">
        <f ca="1">MROUND(RANDBETWEEN(1500,850000),100)</f>
        <v>811600</v>
      </c>
      <c r="H41" s="12">
        <f ca="1">F41*G41</f>
        <v>9739200</v>
      </c>
      <c r="I41" s="12">
        <f ca="1">ROUND(H41*0.19,0)</f>
        <v>1850448</v>
      </c>
      <c r="J41" s="12">
        <f ca="1">H41+I41</f>
        <v>11589648</v>
      </c>
      <c r="K41" s="13">
        <f ca="1">IF(RANDBETWEEN(0,1)=0,0.025,0.035)</f>
        <v>2.5000000000000001E-2</v>
      </c>
      <c r="L41" s="12">
        <f ca="1">ROUND(H41*K41,0)</f>
        <v>243480</v>
      </c>
      <c r="M41" s="14">
        <f>0.01104</f>
        <v>1.1039999999999999E-2</v>
      </c>
      <c r="N41" s="12">
        <f ca="1">ROUND(H41*M41,0)</f>
        <v>107521</v>
      </c>
      <c r="O41" s="12">
        <f ca="1">J41-L41-N41</f>
        <v>11238647</v>
      </c>
    </row>
    <row r="42" spans="1:15" x14ac:dyDescent="0.35">
      <c r="A42" s="9" t="str">
        <f>"FE-"&amp;TEXT(1000+ROW()-1,"0000")</f>
        <v>FE-1041</v>
      </c>
      <c r="B42" s="10">
        <f ca="1">DATE(2026,1,1)+RANDBETWEEN(0,119)</f>
        <v>46073</v>
      </c>
      <c r="C42" s="9" t="str" cm="1">
        <f t="array" aca="1" ref="C42" ca="1">INDEX($Q$2:$Q$16,RANDBETWEEN(1,15))</f>
        <v>Hierros y Mallas Bello S.A.S.</v>
      </c>
      <c r="D42" s="86" t="str">
        <f ca="1">VLOOKUP(C42,$R$2:$S$16,2,FALSE)</f>
        <v>900.901.234-9</v>
      </c>
      <c r="E42" s="9" t="str" cm="1">
        <f t="array" aca="1" ref="E42" ca="1">INDEX($R$2:$R$31,RANDBETWEEN(1,30))</f>
        <v>Cemento blanco x 5 kg</v>
      </c>
      <c r="F42" s="11">
        <f ca="1">RANDBETWEEN(1,50)</f>
        <v>24</v>
      </c>
      <c r="G42" s="12">
        <f ca="1">MROUND(RANDBETWEEN(1500,850000),100)</f>
        <v>210300</v>
      </c>
      <c r="H42" s="12">
        <f ca="1">F42*G42</f>
        <v>5047200</v>
      </c>
      <c r="I42" s="12">
        <f ca="1">ROUND(H42*0.19,0)</f>
        <v>958968</v>
      </c>
      <c r="J42" s="12">
        <f ca="1">H42+I42</f>
        <v>6006168</v>
      </c>
      <c r="K42" s="13">
        <f ca="1">IF(RANDBETWEEN(0,1)=0,0.025,0.035)</f>
        <v>3.5000000000000003E-2</v>
      </c>
      <c r="L42" s="12">
        <f ca="1">ROUND(H42*K42,0)</f>
        <v>176652</v>
      </c>
      <c r="M42" s="14">
        <f>0.01104</f>
        <v>1.1039999999999999E-2</v>
      </c>
      <c r="N42" s="12">
        <f ca="1">ROUND(H42*M42,0)</f>
        <v>55721</v>
      </c>
      <c r="O42" s="12">
        <f ca="1">J42-L42-N42</f>
        <v>5773795</v>
      </c>
    </row>
    <row r="43" spans="1:15" x14ac:dyDescent="0.35">
      <c r="A43" s="9" t="str">
        <f>"FE-"&amp;TEXT(1000+ROW()-1,"0000")</f>
        <v>FE-1042</v>
      </c>
      <c r="B43" s="10">
        <f ca="1">DATE(2026,1,1)+RANDBETWEEN(0,119)</f>
        <v>46048</v>
      </c>
      <c r="C43" s="9" t="str" cm="1">
        <f t="array" aca="1" ref="C43" ca="1">INDEX($Q$2:$Q$16,RANDBETWEEN(1,15))</f>
        <v>Distribuidora El Martillo de Oro S.A.S.</v>
      </c>
      <c r="D43" s="86" t="str">
        <f ca="1">VLOOKUP(C43,$R$2:$S$16,2,FALSE)</f>
        <v>900.345.678-3</v>
      </c>
      <c r="E43" s="9" t="str" cm="1">
        <f t="array" aca="1" ref="E43" ca="1">INDEX($R$2:$R$31,RANDBETWEEN(1,30))</f>
        <v>Teja eternit ondulada No. 6</v>
      </c>
      <c r="F43" s="11">
        <f ca="1">RANDBETWEEN(1,50)</f>
        <v>27</v>
      </c>
      <c r="G43" s="12">
        <f ca="1">MROUND(RANDBETWEEN(1500,850000),100)</f>
        <v>220600</v>
      </c>
      <c r="H43" s="12">
        <f ca="1">F43*G43</f>
        <v>5956200</v>
      </c>
      <c r="I43" s="12">
        <f ca="1">ROUND(H43*0.19,0)</f>
        <v>1131678</v>
      </c>
      <c r="J43" s="12">
        <f ca="1">H43+I43</f>
        <v>7087878</v>
      </c>
      <c r="K43" s="13">
        <f ca="1">IF(RANDBETWEEN(0,1)=0,0.025,0.035)</f>
        <v>2.5000000000000001E-2</v>
      </c>
      <c r="L43" s="12">
        <f ca="1">ROUND(H43*K43,0)</f>
        <v>148905</v>
      </c>
      <c r="M43" s="14">
        <f>0.01104</f>
        <v>1.1039999999999999E-2</v>
      </c>
      <c r="N43" s="12">
        <f ca="1">ROUND(H43*M43,0)</f>
        <v>65756</v>
      </c>
      <c r="O43" s="12">
        <f ca="1">J43-L43-N43</f>
        <v>6873217</v>
      </c>
    </row>
    <row r="44" spans="1:15" x14ac:dyDescent="0.35">
      <c r="A44" s="9" t="str">
        <f>"FE-"&amp;TEXT(1000+ROW()-1,"0000")</f>
        <v>FE-1043</v>
      </c>
      <c r="B44" s="10">
        <f ca="1">DATE(2026,1,1)+RANDBETWEEN(0,119)</f>
        <v>46082</v>
      </c>
      <c r="C44" s="9" t="str" cm="1">
        <f t="array" aca="1" ref="C44" ca="1">INDEX($Q$2:$Q$16,RANDBETWEEN(1,15))</f>
        <v>Herramientas Industriales Medellín S.A.S.</v>
      </c>
      <c r="D44" s="86" t="str">
        <f ca="1">VLOOKUP(C44,$R$2:$S$16,2,FALSE)</f>
        <v>900.567.890-5</v>
      </c>
      <c r="E44" s="9" t="str" cm="1">
        <f t="array" aca="1" ref="E44" ca="1">INDEX($R$2:$R$31,RANDBETWEEN(1,30))</f>
        <v>Materiales La Estrella S.A.S.</v>
      </c>
      <c r="F44" s="11">
        <f ca="1">RANDBETWEEN(1,50)</f>
        <v>33</v>
      </c>
      <c r="G44" s="12">
        <f ca="1">MROUND(RANDBETWEEN(1500,850000),100)</f>
        <v>806600</v>
      </c>
      <c r="H44" s="12">
        <f ca="1">F44*G44</f>
        <v>26617800</v>
      </c>
      <c r="I44" s="12">
        <f ca="1">ROUND(H44*0.19,0)</f>
        <v>5057382</v>
      </c>
      <c r="J44" s="12">
        <f ca="1">H44+I44</f>
        <v>31675182</v>
      </c>
      <c r="K44" s="13">
        <f ca="1">IF(RANDBETWEEN(0,1)=0,0.025,0.035)</f>
        <v>2.5000000000000001E-2</v>
      </c>
      <c r="L44" s="12">
        <f ca="1">ROUND(H44*K44,0)</f>
        <v>665445</v>
      </c>
      <c r="M44" s="14">
        <f>0.01104</f>
        <v>1.1039999999999999E-2</v>
      </c>
      <c r="N44" s="12">
        <f ca="1">ROUND(H44*M44,0)</f>
        <v>293861</v>
      </c>
      <c r="O44" s="12">
        <f ca="1">J44-L44-N44</f>
        <v>30715876</v>
      </c>
    </row>
    <row r="45" spans="1:15" x14ac:dyDescent="0.35">
      <c r="A45" s="9" t="str">
        <f>"FE-"&amp;TEXT(1000+ROW()-1,"0000")</f>
        <v>FE-1044</v>
      </c>
      <c r="B45" s="10">
        <f ca="1">DATE(2026,1,1)+RANDBETWEEN(0,119)</f>
        <v>46133</v>
      </c>
      <c r="C45" s="9" t="str" cm="1">
        <f t="array" aca="1" ref="C45" ca="1">INDEX($Q$2:$Q$16,RANDBETWEEN(1,15))</f>
        <v>Ferretería Antioqueña Ltda.</v>
      </c>
      <c r="D45" s="86" t="str">
        <f ca="1">VLOOKUP(C45,$R$2:$S$16,2,FALSE)</f>
        <v>900.234.567-2</v>
      </c>
      <c r="E45" s="9" t="str" cm="1">
        <f t="array" aca="1" ref="E45" ca="1">INDEX($R$2:$R$31,RANDBETWEEN(1,30))</f>
        <v>Tornillería Nacional del Valle de Aburrá</v>
      </c>
      <c r="F45" s="11">
        <f ca="1">RANDBETWEEN(1,50)</f>
        <v>13</v>
      </c>
      <c r="G45" s="12">
        <f ca="1">MROUND(RANDBETWEEN(1500,850000),100)</f>
        <v>787100</v>
      </c>
      <c r="H45" s="12">
        <f ca="1">F45*G45</f>
        <v>10232300</v>
      </c>
      <c r="I45" s="12">
        <f ca="1">ROUND(H45*0.19,0)</f>
        <v>1944137</v>
      </c>
      <c r="J45" s="12">
        <f ca="1">H45+I45</f>
        <v>12176437</v>
      </c>
      <c r="K45" s="13">
        <f ca="1">IF(RANDBETWEEN(0,1)=0,0.025,0.035)</f>
        <v>2.5000000000000001E-2</v>
      </c>
      <c r="L45" s="12">
        <f ca="1">ROUND(H45*K45,0)</f>
        <v>255808</v>
      </c>
      <c r="M45" s="14">
        <f>0.01104</f>
        <v>1.1039999999999999E-2</v>
      </c>
      <c r="N45" s="12">
        <f ca="1">ROUND(H45*M45,0)</f>
        <v>112965</v>
      </c>
      <c r="O45" s="12">
        <f ca="1">J45-L45-N45</f>
        <v>11807664</v>
      </c>
    </row>
    <row r="46" spans="1:15" x14ac:dyDescent="0.35">
      <c r="A46" s="9" t="str">
        <f>"FE-"&amp;TEXT(1000+ROW()-1,"0000")</f>
        <v>FE-1045</v>
      </c>
      <c r="B46" s="10">
        <f ca="1">DATE(2026,1,1)+RANDBETWEEN(0,119)</f>
        <v>46131</v>
      </c>
      <c r="C46" s="9" t="str" cm="1">
        <f t="array" aca="1" ref="C46" ca="1">INDEX($Q$2:$Q$16,RANDBETWEEN(1,15))</f>
        <v>Tornillería Nacional del Valle de Aburrá</v>
      </c>
      <c r="D46" s="86" t="str">
        <f ca="1">VLOOKUP(C46,$R$2:$S$16,2,FALSE)</f>
        <v>900.890.123-8</v>
      </c>
      <c r="E46" s="9" t="str" cm="1">
        <f t="array" aca="1" ref="E46" ca="1">INDEX($R$2:$R$31,RANDBETWEEN(1,30))</f>
        <v>Cemento blanco x 5 kg</v>
      </c>
      <c r="F46" s="11">
        <f ca="1">RANDBETWEEN(1,50)</f>
        <v>9</v>
      </c>
      <c r="G46" s="12">
        <f ca="1">MROUND(RANDBETWEEN(1500,850000),100)</f>
        <v>780400</v>
      </c>
      <c r="H46" s="12">
        <f ca="1">F46*G46</f>
        <v>7023600</v>
      </c>
      <c r="I46" s="12">
        <f ca="1">ROUND(H46*0.19,0)</f>
        <v>1334484</v>
      </c>
      <c r="J46" s="12">
        <f ca="1">H46+I46</f>
        <v>8358084</v>
      </c>
      <c r="K46" s="13">
        <f ca="1">IF(RANDBETWEEN(0,1)=0,0.025,0.035)</f>
        <v>3.5000000000000003E-2</v>
      </c>
      <c r="L46" s="12">
        <f ca="1">ROUND(H46*K46,0)</f>
        <v>245826</v>
      </c>
      <c r="M46" s="14">
        <f>0.01104</f>
        <v>1.1039999999999999E-2</v>
      </c>
      <c r="N46" s="12">
        <f ca="1">ROUND(H46*M46,0)</f>
        <v>77541</v>
      </c>
      <c r="O46" s="12">
        <f ca="1">J46-L46-N46</f>
        <v>8034717</v>
      </c>
    </row>
    <row r="47" spans="1:15" x14ac:dyDescent="0.35">
      <c r="A47" s="9" t="str">
        <f>"FE-"&amp;TEXT(1000+ROW()-1,"0000")</f>
        <v>FE-1046</v>
      </c>
      <c r="B47" s="10">
        <f ca="1">DATE(2026,1,1)+RANDBETWEEN(0,119)</f>
        <v>46133</v>
      </c>
      <c r="C47" s="9" t="str" cm="1">
        <f t="array" aca="1" ref="C47" ca="1">INDEX($Q$2:$Q$16,RANDBETWEEN(1,15))</f>
        <v>El Constructor S.A.S.</v>
      </c>
      <c r="D47" s="86" t="str">
        <f ca="1">VLOOKUP(C47,$R$2:$S$16,2,FALSE)</f>
        <v>901.123.456-1</v>
      </c>
      <c r="E47" s="9" t="str" cm="1">
        <f t="array" aca="1" ref="E47" ca="1">INDEX($R$2:$R$31,RANDBETWEEN(1,30))</f>
        <v>Bloque de concreto 10x20x40</v>
      </c>
      <c r="F47" s="11">
        <f ca="1">RANDBETWEEN(1,50)</f>
        <v>14</v>
      </c>
      <c r="G47" s="12">
        <f ca="1">MROUND(RANDBETWEEN(1500,850000),100)</f>
        <v>793900</v>
      </c>
      <c r="H47" s="12">
        <f ca="1">F47*G47</f>
        <v>11114600</v>
      </c>
      <c r="I47" s="12">
        <f ca="1">ROUND(H47*0.19,0)</f>
        <v>2111774</v>
      </c>
      <c r="J47" s="12">
        <f ca="1">H47+I47</f>
        <v>13226374</v>
      </c>
      <c r="K47" s="13">
        <f ca="1">IF(RANDBETWEEN(0,1)=0,0.025,0.035)</f>
        <v>3.5000000000000003E-2</v>
      </c>
      <c r="L47" s="12">
        <f ca="1">ROUND(H47*K47,0)</f>
        <v>389011</v>
      </c>
      <c r="M47" s="14">
        <f>0.01104</f>
        <v>1.1039999999999999E-2</v>
      </c>
      <c r="N47" s="12">
        <f ca="1">ROUND(H47*M47,0)</f>
        <v>122705</v>
      </c>
      <c r="O47" s="12">
        <f ca="1">J47-L47-N47</f>
        <v>12714658</v>
      </c>
    </row>
    <row r="48" spans="1:15" x14ac:dyDescent="0.35">
      <c r="A48" s="9" t="str">
        <f>"FE-"&amp;TEXT(1000+ROW()-1,"0000")</f>
        <v>FE-1047</v>
      </c>
      <c r="B48" s="10">
        <f ca="1">DATE(2026,1,1)+RANDBETWEEN(0,119)</f>
        <v>46081</v>
      </c>
      <c r="C48" s="9" t="str" cm="1">
        <f t="array" aca="1" ref="C48" ca="1">INDEX($Q$2:$Q$16,RANDBETWEEN(1,15))</f>
        <v>Aceros de la Montaña S.A.S.</v>
      </c>
      <c r="D48" s="86" t="str">
        <f ca="1">VLOOKUP(C48,$R$2:$S$16,2,FALSE)</f>
        <v>900.123.456-1</v>
      </c>
      <c r="E48" s="9" t="str" cm="1">
        <f t="array" aca="1" ref="E48" ca="1">INDEX($R$2:$R$31,RANDBETWEEN(1,30))</f>
        <v>Ferromax Colombia S.A.S.</v>
      </c>
      <c r="F48" s="11">
        <f ca="1">RANDBETWEEN(1,50)</f>
        <v>34</v>
      </c>
      <c r="G48" s="12">
        <f ca="1">MROUND(RANDBETWEEN(1500,850000),100)</f>
        <v>196500</v>
      </c>
      <c r="H48" s="12">
        <f ca="1">F48*G48</f>
        <v>6681000</v>
      </c>
      <c r="I48" s="12">
        <f ca="1">ROUND(H48*0.19,0)</f>
        <v>1269390</v>
      </c>
      <c r="J48" s="12">
        <f ca="1">H48+I48</f>
        <v>7950390</v>
      </c>
      <c r="K48" s="13">
        <f ca="1">IF(RANDBETWEEN(0,1)=0,0.025,0.035)</f>
        <v>2.5000000000000001E-2</v>
      </c>
      <c r="L48" s="12">
        <f ca="1">ROUND(H48*K48,0)</f>
        <v>167025</v>
      </c>
      <c r="M48" s="14">
        <f>0.01104</f>
        <v>1.1039999999999999E-2</v>
      </c>
      <c r="N48" s="12">
        <f ca="1">ROUND(H48*M48,0)</f>
        <v>73758</v>
      </c>
      <c r="O48" s="12">
        <f ca="1">J48-L48-N48</f>
        <v>7709607</v>
      </c>
    </row>
    <row r="49" spans="1:15" x14ac:dyDescent="0.35">
      <c r="A49" s="9" t="str">
        <f>"FE-"&amp;TEXT(1000+ROW()-1,"0000")</f>
        <v>FE-1048</v>
      </c>
      <c r="B49" s="10">
        <f ca="1">DATE(2026,1,1)+RANDBETWEEN(0,119)</f>
        <v>46027</v>
      </c>
      <c r="C49" s="9" t="str" cm="1">
        <f t="array" aca="1" ref="C49" ca="1">INDEX($Q$2:$Q$16,RANDBETWEEN(1,15))</f>
        <v>Ferretería Antioqueña Ltda.</v>
      </c>
      <c r="D49" s="86" t="str">
        <f ca="1">VLOOKUP(C49,$R$2:$S$16,2,FALSE)</f>
        <v>900.234.567-2</v>
      </c>
      <c r="E49" s="9" t="str" cm="1">
        <f t="array" aca="1" ref="E49" ca="1">INDEX($R$2:$R$31,RANDBETWEEN(1,30))</f>
        <v>Pala cuadrada con cabo</v>
      </c>
      <c r="F49" s="11">
        <f ca="1">RANDBETWEEN(1,50)</f>
        <v>6</v>
      </c>
      <c r="G49" s="12">
        <f ca="1">MROUND(RANDBETWEEN(1500,850000),100)</f>
        <v>555100</v>
      </c>
      <c r="H49" s="12">
        <f ca="1">F49*G49</f>
        <v>3330600</v>
      </c>
      <c r="I49" s="12">
        <f ca="1">ROUND(H49*0.19,0)</f>
        <v>632814</v>
      </c>
      <c r="J49" s="12">
        <f ca="1">H49+I49</f>
        <v>3963414</v>
      </c>
      <c r="K49" s="13">
        <f ca="1">IF(RANDBETWEEN(0,1)=0,0.025,0.035)</f>
        <v>2.5000000000000001E-2</v>
      </c>
      <c r="L49" s="12">
        <f ca="1">ROUND(H49*K49,0)</f>
        <v>83265</v>
      </c>
      <c r="M49" s="14">
        <f>0.01104</f>
        <v>1.1039999999999999E-2</v>
      </c>
      <c r="N49" s="12">
        <f ca="1">ROUND(H49*M49,0)</f>
        <v>36770</v>
      </c>
      <c r="O49" s="12">
        <f ca="1">J49-L49-N49</f>
        <v>3843379</v>
      </c>
    </row>
    <row r="50" spans="1:15" x14ac:dyDescent="0.35">
      <c r="A50" s="9" t="str">
        <f>"FE-"&amp;TEXT(1000+ROW()-1,"0000")</f>
        <v>FE-1049</v>
      </c>
      <c r="B50" s="10">
        <f ca="1">DATE(2026,1,1)+RANDBETWEEN(0,119)</f>
        <v>46034</v>
      </c>
      <c r="C50" s="9" t="str" cm="1">
        <f t="array" aca="1" ref="C50" ca="1">INDEX($Q$2:$Q$16,RANDBETWEEN(1,15))</f>
        <v>Ferretería Antioqueña Ltda.</v>
      </c>
      <c r="D50" s="86" t="str">
        <f ca="1">VLOOKUP(C50,$R$2:$S$16,2,FALSE)</f>
        <v>900.234.567-2</v>
      </c>
      <c r="E50" s="9" t="str" cm="1">
        <f t="array" aca="1" ref="E50" ca="1">INDEX($R$2:$R$31,RANDBETWEEN(1,30))</f>
        <v>Pinturas y Acabados Aburrá S.A.S.</v>
      </c>
      <c r="F50" s="11">
        <f ca="1">RANDBETWEEN(1,50)</f>
        <v>24</v>
      </c>
      <c r="G50" s="12">
        <f ca="1">MROUND(RANDBETWEEN(1500,850000),100)</f>
        <v>212400</v>
      </c>
      <c r="H50" s="12">
        <f ca="1">F50*G50</f>
        <v>5097600</v>
      </c>
      <c r="I50" s="12">
        <f ca="1">ROUND(H50*0.19,0)</f>
        <v>968544</v>
      </c>
      <c r="J50" s="12">
        <f ca="1">H50+I50</f>
        <v>6066144</v>
      </c>
      <c r="K50" s="13">
        <f ca="1">IF(RANDBETWEEN(0,1)=0,0.025,0.035)</f>
        <v>3.5000000000000003E-2</v>
      </c>
      <c r="L50" s="12">
        <f ca="1">ROUND(H50*K50,0)</f>
        <v>178416</v>
      </c>
      <c r="M50" s="14">
        <f>0.01104</f>
        <v>1.1039999999999999E-2</v>
      </c>
      <c r="N50" s="12">
        <f ca="1">ROUND(H50*M50,0)</f>
        <v>56278</v>
      </c>
      <c r="O50" s="12">
        <f ca="1">J50-L50-N50</f>
        <v>5831450</v>
      </c>
    </row>
    <row r="51" spans="1:15" x14ac:dyDescent="0.35">
      <c r="A51" s="9" t="str">
        <f>"FE-"&amp;TEXT(1000+ROW()-1,"0000")</f>
        <v>FE-1050</v>
      </c>
      <c r="B51" s="10">
        <f ca="1">DATE(2026,1,1)+RANDBETWEEN(0,119)</f>
        <v>46078</v>
      </c>
      <c r="C51" s="9" t="str" cm="1">
        <f t="array" aca="1" ref="C51" ca="1">INDEX($Q$2:$Q$16,RANDBETWEEN(1,15))</f>
        <v>Ferretería Antioqueña Ltda.</v>
      </c>
      <c r="D51" s="86" t="str">
        <f ca="1">VLOOKUP(C51,$R$2:$S$16,2,FALSE)</f>
        <v>900.234.567-2</v>
      </c>
      <c r="E51" s="9" t="str" cm="1">
        <f t="array" aca="1" ref="E51" ca="1">INDEX($R$2:$R$31,RANDBETWEEN(1,30))</f>
        <v>Guantes de carnaza par</v>
      </c>
      <c r="F51" s="11">
        <f ca="1">RANDBETWEEN(1,50)</f>
        <v>4</v>
      </c>
      <c r="G51" s="12">
        <f ca="1">MROUND(RANDBETWEEN(1500,850000),100)</f>
        <v>784300</v>
      </c>
      <c r="H51" s="12">
        <f ca="1">F51*G51</f>
        <v>3137200</v>
      </c>
      <c r="I51" s="12">
        <f ca="1">ROUND(H51*0.19,0)</f>
        <v>596068</v>
      </c>
      <c r="J51" s="12">
        <f ca="1">H51+I51</f>
        <v>3733268</v>
      </c>
      <c r="K51" s="13">
        <f ca="1">IF(RANDBETWEEN(0,1)=0,0.025,0.035)</f>
        <v>2.5000000000000001E-2</v>
      </c>
      <c r="L51" s="12">
        <f ca="1">ROUND(H51*K51,0)</f>
        <v>78430</v>
      </c>
      <c r="M51" s="14">
        <f>0.01104</f>
        <v>1.1039999999999999E-2</v>
      </c>
      <c r="N51" s="12">
        <f ca="1">ROUND(H51*M51,0)</f>
        <v>34635</v>
      </c>
      <c r="O51" s="12">
        <f ca="1">J51-L51-N51</f>
        <v>3620203</v>
      </c>
    </row>
    <row r="52" spans="1:15" x14ac:dyDescent="0.35">
      <c r="A52" s="9" t="str">
        <f>"FE-"&amp;TEXT(1000+ROW()-1,"0000")</f>
        <v>FE-1051</v>
      </c>
      <c r="B52" s="10">
        <f ca="1">DATE(2026,1,1)+RANDBETWEEN(0,119)</f>
        <v>46130</v>
      </c>
      <c r="C52" s="9" t="str" cm="1">
        <f t="array" aca="1" ref="C52" ca="1">INDEX($Q$2:$Q$16,RANDBETWEEN(1,15))</f>
        <v>Pinturas y Acabados Aburrá S.A.S.</v>
      </c>
      <c r="D52" s="86" t="str">
        <f ca="1">VLOOKUP(C52,$R$2:$S$16,2,FALSE)</f>
        <v>900.789.012-7</v>
      </c>
      <c r="E52" s="9" t="str" cm="1">
        <f t="array" aca="1" ref="E52" ca="1">INDEX($R$2:$R$31,RANDBETWEEN(1,30))</f>
        <v>Tornillería Nacional del Valle de Aburrá</v>
      </c>
      <c r="F52" s="11">
        <f ca="1">RANDBETWEEN(1,50)</f>
        <v>27</v>
      </c>
      <c r="G52" s="12">
        <f ca="1">MROUND(RANDBETWEEN(1500,850000),100)</f>
        <v>493000</v>
      </c>
      <c r="H52" s="12">
        <f ca="1">F52*G52</f>
        <v>13311000</v>
      </c>
      <c r="I52" s="12">
        <f ca="1">ROUND(H52*0.19,0)</f>
        <v>2529090</v>
      </c>
      <c r="J52" s="12">
        <f ca="1">H52+I52</f>
        <v>15840090</v>
      </c>
      <c r="K52" s="13">
        <f ca="1">IF(RANDBETWEEN(0,1)=0,0.025,0.035)</f>
        <v>3.5000000000000003E-2</v>
      </c>
      <c r="L52" s="12">
        <f ca="1">ROUND(H52*K52,0)</f>
        <v>465885</v>
      </c>
      <c r="M52" s="14">
        <f>0.01104</f>
        <v>1.1039999999999999E-2</v>
      </c>
      <c r="N52" s="12">
        <f ca="1">ROUND(H52*M52,0)</f>
        <v>146953</v>
      </c>
      <c r="O52" s="12">
        <f ca="1">J52-L52-N52</f>
        <v>15227252</v>
      </c>
    </row>
    <row r="53" spans="1:15" x14ac:dyDescent="0.35">
      <c r="A53" s="9" t="str">
        <f>"FE-"&amp;TEXT(1000+ROW()-1,"0000")</f>
        <v>FE-1052</v>
      </c>
      <c r="B53" s="10">
        <f ca="1">DATE(2026,1,1)+RANDBETWEEN(0,119)</f>
        <v>46096</v>
      </c>
      <c r="C53" s="9" t="str" cm="1">
        <f t="array" aca="1" ref="C53" ca="1">INDEX($Q$2:$Q$16,RANDBETWEEN(1,15))</f>
        <v>Suministros Ferreteros La 80 Ltda.</v>
      </c>
      <c r="D53" s="86" t="str">
        <f ca="1">VLOOKUP(C53,$R$2:$S$16,2,FALSE)</f>
        <v>900.678.901-6</v>
      </c>
      <c r="E53" s="9" t="str" cm="1">
        <f t="array" aca="1" ref="E53" ca="1">INDEX($R$2:$R$31,RANDBETWEEN(1,30))</f>
        <v>Cemento blanco x 5 kg</v>
      </c>
      <c r="F53" s="11">
        <f ca="1">RANDBETWEEN(1,50)</f>
        <v>21</v>
      </c>
      <c r="G53" s="12">
        <f ca="1">MROUND(RANDBETWEEN(1500,850000),100)</f>
        <v>217900</v>
      </c>
      <c r="H53" s="12">
        <f ca="1">F53*G53</f>
        <v>4575900</v>
      </c>
      <c r="I53" s="12">
        <f ca="1">ROUND(H53*0.19,0)</f>
        <v>869421</v>
      </c>
      <c r="J53" s="12">
        <f ca="1">H53+I53</f>
        <v>5445321</v>
      </c>
      <c r="K53" s="13">
        <f ca="1">IF(RANDBETWEEN(0,1)=0,0.025,0.035)</f>
        <v>3.5000000000000003E-2</v>
      </c>
      <c r="L53" s="12">
        <f ca="1">ROUND(H53*K53,0)</f>
        <v>160157</v>
      </c>
      <c r="M53" s="14">
        <f>0.01104</f>
        <v>1.1039999999999999E-2</v>
      </c>
      <c r="N53" s="12">
        <f ca="1">ROUND(H53*M53,0)</f>
        <v>50518</v>
      </c>
      <c r="O53" s="12">
        <f ca="1">J53-L53-N53</f>
        <v>5234646</v>
      </c>
    </row>
    <row r="54" spans="1:15" x14ac:dyDescent="0.35">
      <c r="A54" s="9" t="str">
        <f>"FE-"&amp;TEXT(1000+ROW()-1,"0000")</f>
        <v>FE-1053</v>
      </c>
      <c r="B54" s="10">
        <f ca="1">DATE(2026,1,1)+RANDBETWEEN(0,119)</f>
        <v>46089</v>
      </c>
      <c r="C54" s="9" t="str" cm="1">
        <f t="array" aca="1" ref="C54" ca="1">INDEX($Q$2:$Q$16,RANDBETWEEN(1,15))</f>
        <v>Tornillería Nacional del Valle de Aburrá</v>
      </c>
      <c r="D54" s="86" t="str">
        <f ca="1">VLOOKUP(C54,$R$2:$S$16,2,FALSE)</f>
        <v>900.890.123-8</v>
      </c>
      <c r="E54" s="9" t="str" cm="1">
        <f t="array" aca="1" ref="E54" ca="1">INDEX($R$2:$R$31,RANDBETWEEN(1,30))</f>
        <v>Distribuciones Itagüí Ferretera Ltda.</v>
      </c>
      <c r="F54" s="11">
        <f ca="1">RANDBETWEEN(1,50)</f>
        <v>48</v>
      </c>
      <c r="G54" s="12">
        <f ca="1">MROUND(RANDBETWEEN(1500,850000),100)</f>
        <v>13700</v>
      </c>
      <c r="H54" s="12">
        <f ca="1">F54*G54</f>
        <v>657600</v>
      </c>
      <c r="I54" s="12">
        <f ca="1">ROUND(H54*0.19,0)</f>
        <v>124944</v>
      </c>
      <c r="J54" s="12">
        <f ca="1">H54+I54</f>
        <v>782544</v>
      </c>
      <c r="K54" s="13">
        <f ca="1">IF(RANDBETWEEN(0,1)=0,0.025,0.035)</f>
        <v>3.5000000000000003E-2</v>
      </c>
      <c r="L54" s="12">
        <f ca="1">ROUND(H54*K54,0)</f>
        <v>23016</v>
      </c>
      <c r="M54" s="14">
        <f>0.01104</f>
        <v>1.1039999999999999E-2</v>
      </c>
      <c r="N54" s="12">
        <f ca="1">ROUND(H54*M54,0)</f>
        <v>7260</v>
      </c>
      <c r="O54" s="12">
        <f ca="1">J54-L54-N54</f>
        <v>752268</v>
      </c>
    </row>
    <row r="55" spans="1:15" x14ac:dyDescent="0.35">
      <c r="A55" s="9" t="str">
        <f>"FE-"&amp;TEXT(1000+ROW()-1,"0000")</f>
        <v>FE-1054</v>
      </c>
      <c r="B55" s="10">
        <f ca="1">DATE(2026,1,1)+RANDBETWEEN(0,119)</f>
        <v>46121</v>
      </c>
      <c r="C55" s="9" t="str" cm="1">
        <f t="array" aca="1" ref="C55" ca="1">INDEX($Q$2:$Q$16,RANDBETWEEN(1,15))</f>
        <v>Acabados y Construcción Poblado S.A.S.</v>
      </c>
      <c r="D55" s="86" t="str">
        <f ca="1">VLOOKUP(C55,$R$2:$S$16,2,FALSE)</f>
        <v>901.567.890-5</v>
      </c>
      <c r="E55" s="9" t="str" cm="1">
        <f t="array" aca="1" ref="E55" ca="1">INDEX($R$2:$R$31,RANDBETWEEN(1,30))</f>
        <v>Casco de seguridad industrial</v>
      </c>
      <c r="F55" s="11">
        <f ca="1">RANDBETWEEN(1,50)</f>
        <v>50</v>
      </c>
      <c r="G55" s="12">
        <f ca="1">MROUND(RANDBETWEEN(1500,850000),100)</f>
        <v>102600</v>
      </c>
      <c r="H55" s="12">
        <f ca="1">F55*G55</f>
        <v>5130000</v>
      </c>
      <c r="I55" s="12">
        <f ca="1">ROUND(H55*0.19,0)</f>
        <v>974700</v>
      </c>
      <c r="J55" s="12">
        <f ca="1">H55+I55</f>
        <v>6104700</v>
      </c>
      <c r="K55" s="13">
        <f ca="1">IF(RANDBETWEEN(0,1)=0,0.025,0.035)</f>
        <v>3.5000000000000003E-2</v>
      </c>
      <c r="L55" s="12">
        <f ca="1">ROUND(H55*K55,0)</f>
        <v>179550</v>
      </c>
      <c r="M55" s="14">
        <f>0.01104</f>
        <v>1.1039999999999999E-2</v>
      </c>
      <c r="N55" s="12">
        <f ca="1">ROUND(H55*M55,0)</f>
        <v>56635</v>
      </c>
      <c r="O55" s="12">
        <f ca="1">J55-L55-N55</f>
        <v>5868515</v>
      </c>
    </row>
    <row r="56" spans="1:15" x14ac:dyDescent="0.35">
      <c r="A56" s="9" t="str">
        <f>"FE-"&amp;TEXT(1000+ROW()-1,"0000")</f>
        <v>FE-1055</v>
      </c>
      <c r="B56" s="10">
        <f ca="1">DATE(2026,1,1)+RANDBETWEEN(0,119)</f>
        <v>46073</v>
      </c>
      <c r="C56" s="9" t="str" cm="1">
        <f t="array" aca="1" ref="C56" ca="1">INDEX($Q$2:$Q$16,RANDBETWEEN(1,15))</f>
        <v>Materiales La Estrella S.A.S.</v>
      </c>
      <c r="D56" s="86" t="str">
        <f ca="1">VLOOKUP(C56,$R$2:$S$16,2,FALSE)</f>
        <v>901.345.678-3</v>
      </c>
      <c r="E56" s="9" t="str" cm="1">
        <f t="array" aca="1" ref="E56" ca="1">INDEX($R$2:$R$31,RANDBETWEEN(1,30))</f>
        <v>Hierros y Mallas Bello S.A.S.</v>
      </c>
      <c r="F56" s="11">
        <f ca="1">RANDBETWEEN(1,50)</f>
        <v>27</v>
      </c>
      <c r="G56" s="12">
        <f ca="1">MROUND(RANDBETWEEN(1500,850000),100)</f>
        <v>606900</v>
      </c>
      <c r="H56" s="12">
        <f ca="1">F56*G56</f>
        <v>16386300</v>
      </c>
      <c r="I56" s="12">
        <f ca="1">ROUND(H56*0.19,0)</f>
        <v>3113397</v>
      </c>
      <c r="J56" s="12">
        <f ca="1">H56+I56</f>
        <v>19499697</v>
      </c>
      <c r="K56" s="13">
        <f ca="1">IF(RANDBETWEEN(0,1)=0,0.025,0.035)</f>
        <v>2.5000000000000001E-2</v>
      </c>
      <c r="L56" s="12">
        <f ca="1">ROUND(H56*K56,0)</f>
        <v>409658</v>
      </c>
      <c r="M56" s="14">
        <f>0.01104</f>
        <v>1.1039999999999999E-2</v>
      </c>
      <c r="N56" s="12">
        <f ca="1">ROUND(H56*M56,0)</f>
        <v>180905</v>
      </c>
      <c r="O56" s="12">
        <f ca="1">J56-L56-N56</f>
        <v>18909134</v>
      </c>
    </row>
    <row r="57" spans="1:15" x14ac:dyDescent="0.35">
      <c r="A57" s="9" t="str">
        <f>"FE-"&amp;TEXT(1000+ROW()-1,"0000")</f>
        <v>FE-1056</v>
      </c>
      <c r="B57" s="10">
        <f ca="1">DATE(2026,1,1)+RANDBETWEEN(0,119)</f>
        <v>46130</v>
      </c>
      <c r="C57" s="9" t="str" cm="1">
        <f t="array" aca="1" ref="C57" ca="1">INDEX($Q$2:$Q$16,RANDBETWEEN(1,15))</f>
        <v>Tubos y Conexiones Envigado Ltda.</v>
      </c>
      <c r="D57" s="86" t="str">
        <f ca="1">VLOOKUP(C57,$R$2:$S$16,2,FALSE)</f>
        <v>901.012.345-0</v>
      </c>
      <c r="E57" s="9" t="str" cm="1">
        <f t="array" aca="1" ref="E57" ca="1">INDEX($R$2:$R$31,RANDBETWEEN(1,30))</f>
        <v>Triturado 1/2" - bulto</v>
      </c>
      <c r="F57" s="11">
        <f ca="1">RANDBETWEEN(1,50)</f>
        <v>30</v>
      </c>
      <c r="G57" s="12">
        <f ca="1">MROUND(RANDBETWEEN(1500,850000),100)</f>
        <v>696900</v>
      </c>
      <c r="H57" s="12">
        <f ca="1">F57*G57</f>
        <v>20907000</v>
      </c>
      <c r="I57" s="12">
        <f ca="1">ROUND(H57*0.19,0)</f>
        <v>3972330</v>
      </c>
      <c r="J57" s="12">
        <f ca="1">H57+I57</f>
        <v>24879330</v>
      </c>
      <c r="K57" s="13">
        <f ca="1">IF(RANDBETWEEN(0,1)=0,0.025,0.035)</f>
        <v>3.5000000000000003E-2</v>
      </c>
      <c r="L57" s="12">
        <f ca="1">ROUND(H57*K57,0)</f>
        <v>731745</v>
      </c>
      <c r="M57" s="14">
        <f>0.01104</f>
        <v>1.1039999999999999E-2</v>
      </c>
      <c r="N57" s="12">
        <f ca="1">ROUND(H57*M57,0)</f>
        <v>230813</v>
      </c>
      <c r="O57" s="12">
        <f ca="1">J57-L57-N57</f>
        <v>23916772</v>
      </c>
    </row>
    <row r="58" spans="1:15" x14ac:dyDescent="0.35">
      <c r="A58" s="9" t="str">
        <f>"FE-"&amp;TEXT(1000+ROW()-1,"0000")</f>
        <v>FE-1057</v>
      </c>
      <c r="B58" s="10">
        <f ca="1">DATE(2026,1,1)+RANDBETWEEN(0,119)</f>
        <v>46068</v>
      </c>
      <c r="C58" s="9" t="str" cm="1">
        <f t="array" aca="1" ref="C58" ca="1">INDEX($Q$2:$Q$16,RANDBETWEEN(1,15))</f>
        <v>Materiales La Estrella S.A.S.</v>
      </c>
      <c r="D58" s="86" t="str">
        <f ca="1">VLOOKUP(C58,$R$2:$S$16,2,FALSE)</f>
        <v>901.345.678-3</v>
      </c>
      <c r="E58" s="9" t="str" cm="1">
        <f t="array" aca="1" ref="E58" ca="1">INDEX($R$2:$R$31,RANDBETWEEN(1,30))</f>
        <v>Esmeril angular 4-1/2" 850W</v>
      </c>
      <c r="F58" s="11">
        <f ca="1">RANDBETWEEN(1,50)</f>
        <v>5</v>
      </c>
      <c r="G58" s="12">
        <f ca="1">MROUND(RANDBETWEEN(1500,850000),100)</f>
        <v>239900</v>
      </c>
      <c r="H58" s="12">
        <f ca="1">F58*G58</f>
        <v>1199500</v>
      </c>
      <c r="I58" s="12">
        <f ca="1">ROUND(H58*0.19,0)</f>
        <v>227905</v>
      </c>
      <c r="J58" s="12">
        <f ca="1">H58+I58</f>
        <v>1427405</v>
      </c>
      <c r="K58" s="13">
        <f ca="1">IF(RANDBETWEEN(0,1)=0,0.025,0.035)</f>
        <v>2.5000000000000001E-2</v>
      </c>
      <c r="L58" s="12">
        <f ca="1">ROUND(H58*K58,0)</f>
        <v>29988</v>
      </c>
      <c r="M58" s="14">
        <f>0.01104</f>
        <v>1.1039999999999999E-2</v>
      </c>
      <c r="N58" s="12">
        <f ca="1">ROUND(H58*M58,0)</f>
        <v>13242</v>
      </c>
      <c r="O58" s="12">
        <f ca="1">J58-L58-N58</f>
        <v>1384175</v>
      </c>
    </row>
    <row r="59" spans="1:15" x14ac:dyDescent="0.35">
      <c r="A59" s="9" t="str">
        <f>"FE-"&amp;TEXT(1000+ROW()-1,"0000")</f>
        <v>FE-1058</v>
      </c>
      <c r="B59" s="10">
        <f ca="1">DATE(2026,1,1)+RANDBETWEEN(0,119)</f>
        <v>46099</v>
      </c>
      <c r="C59" s="9" t="str" cm="1">
        <f t="array" aca="1" ref="C59" ca="1">INDEX($Q$2:$Q$16,RANDBETWEEN(1,15))</f>
        <v>Pinturas y Acabados Aburrá S.A.S.</v>
      </c>
      <c r="D59" s="86" t="str">
        <f ca="1">VLOOKUP(C59,$R$2:$S$16,2,FALSE)</f>
        <v>900.789.012-7</v>
      </c>
      <c r="E59" s="9" t="str" cm="1">
        <f t="array" aca="1" ref="E59" ca="1">INDEX($R$2:$R$31,RANDBETWEEN(1,30))</f>
        <v>Ladrillo tolete macizo</v>
      </c>
      <c r="F59" s="11">
        <f ca="1">RANDBETWEEN(1,50)</f>
        <v>11</v>
      </c>
      <c r="G59" s="12">
        <f ca="1">MROUND(RANDBETWEEN(1500,850000),100)</f>
        <v>767800</v>
      </c>
      <c r="H59" s="12">
        <f ca="1">F59*G59</f>
        <v>8445800</v>
      </c>
      <c r="I59" s="12">
        <f ca="1">ROUND(H59*0.19,0)</f>
        <v>1604702</v>
      </c>
      <c r="J59" s="12">
        <f ca="1">H59+I59</f>
        <v>10050502</v>
      </c>
      <c r="K59" s="13">
        <f ca="1">IF(RANDBETWEEN(0,1)=0,0.025,0.035)</f>
        <v>2.5000000000000001E-2</v>
      </c>
      <c r="L59" s="12">
        <f ca="1">ROUND(H59*K59,0)</f>
        <v>211145</v>
      </c>
      <c r="M59" s="14">
        <f>0.01104</f>
        <v>1.1039999999999999E-2</v>
      </c>
      <c r="N59" s="12">
        <f ca="1">ROUND(H59*M59,0)</f>
        <v>93242</v>
      </c>
      <c r="O59" s="12">
        <f ca="1">J59-L59-N59</f>
        <v>9746115</v>
      </c>
    </row>
    <row r="60" spans="1:15" x14ac:dyDescent="0.35">
      <c r="A60" s="9" t="str">
        <f>"FE-"&amp;TEXT(1000+ROW()-1,"0000")</f>
        <v>FE-1059</v>
      </c>
      <c r="B60" s="10">
        <f ca="1">DATE(2026,1,1)+RANDBETWEEN(0,119)</f>
        <v>46056</v>
      </c>
      <c r="C60" s="9" t="str" cm="1">
        <f t="array" aca="1" ref="C60" ca="1">INDEX($Q$2:$Q$16,RANDBETWEEN(1,15))</f>
        <v>Tornillería Nacional del Valle de Aburrá</v>
      </c>
      <c r="D60" s="86" t="str">
        <f ca="1">VLOOKUP(C60,$R$2:$S$16,2,FALSE)</f>
        <v>900.890.123-8</v>
      </c>
      <c r="E60" s="9" t="str" cm="1">
        <f t="array" aca="1" ref="E60" ca="1">INDEX($R$2:$R$31,RANDBETWEEN(1,30))</f>
        <v>Distribuidora El Martillo de Oro S.A.S.</v>
      </c>
      <c r="F60" s="11">
        <f ca="1">RANDBETWEEN(1,50)</f>
        <v>50</v>
      </c>
      <c r="G60" s="12">
        <f ca="1">MROUND(RANDBETWEEN(1500,850000),100)</f>
        <v>685100</v>
      </c>
      <c r="H60" s="12">
        <f ca="1">F60*G60</f>
        <v>34255000</v>
      </c>
      <c r="I60" s="12">
        <f ca="1">ROUND(H60*0.19,0)</f>
        <v>6508450</v>
      </c>
      <c r="J60" s="12">
        <f ca="1">H60+I60</f>
        <v>40763450</v>
      </c>
      <c r="K60" s="13">
        <f ca="1">IF(RANDBETWEEN(0,1)=0,0.025,0.035)</f>
        <v>2.5000000000000001E-2</v>
      </c>
      <c r="L60" s="12">
        <f ca="1">ROUND(H60*K60,0)</f>
        <v>856375</v>
      </c>
      <c r="M60" s="14">
        <f>0.01104</f>
        <v>1.1039999999999999E-2</v>
      </c>
      <c r="N60" s="12">
        <f ca="1">ROUND(H60*M60,0)</f>
        <v>378175</v>
      </c>
      <c r="O60" s="12">
        <f ca="1">J60-L60-N60</f>
        <v>39528900</v>
      </c>
    </row>
    <row r="61" spans="1:15" x14ac:dyDescent="0.35">
      <c r="A61" s="9" t="str">
        <f>"FE-"&amp;TEXT(1000+ROW()-1,"0000")</f>
        <v>FE-1060</v>
      </c>
      <c r="B61" s="10">
        <f ca="1">DATE(2026,1,1)+RANDBETWEEN(0,119)</f>
        <v>46138</v>
      </c>
      <c r="C61" s="9" t="str" cm="1">
        <f t="array" aca="1" ref="C61" ca="1">INDEX($Q$2:$Q$16,RANDBETWEEN(1,15))</f>
        <v>Suministros Ferreteros La 80 Ltda.</v>
      </c>
      <c r="D61" s="86" t="str">
        <f ca="1">VLOOKUP(C61,$R$2:$S$16,2,FALSE)</f>
        <v>900.678.901-6</v>
      </c>
      <c r="E61" s="9" t="str" cm="1">
        <f t="array" aca="1" ref="E61" ca="1">INDEX($R$2:$R$31,RANDBETWEEN(1,30))</f>
        <v>Herramientas Industriales Medellín S.A.S.</v>
      </c>
      <c r="F61" s="11">
        <f ca="1">RANDBETWEEN(1,50)</f>
        <v>32</v>
      </c>
      <c r="G61" s="12">
        <f ca="1">MROUND(RANDBETWEEN(1500,850000),100)</f>
        <v>204800</v>
      </c>
      <c r="H61" s="12">
        <f ca="1">F61*G61</f>
        <v>6553600</v>
      </c>
      <c r="I61" s="12">
        <f ca="1">ROUND(H61*0.19,0)</f>
        <v>1245184</v>
      </c>
      <c r="J61" s="12">
        <f ca="1">H61+I61</f>
        <v>7798784</v>
      </c>
      <c r="K61" s="13">
        <f ca="1">IF(RANDBETWEEN(0,1)=0,0.025,0.035)</f>
        <v>2.5000000000000001E-2</v>
      </c>
      <c r="L61" s="12">
        <f ca="1">ROUND(H61*K61,0)</f>
        <v>163840</v>
      </c>
      <c r="M61" s="14">
        <f>0.01104</f>
        <v>1.1039999999999999E-2</v>
      </c>
      <c r="N61" s="12">
        <f ca="1">ROUND(H61*M61,0)</f>
        <v>72352</v>
      </c>
      <c r="O61" s="12">
        <f ca="1">J61-L61-N61</f>
        <v>7562592</v>
      </c>
    </row>
    <row r="62" spans="1:15" x14ac:dyDescent="0.35">
      <c r="A62" s="9" t="str">
        <f>"FE-"&amp;TEXT(1000+ROW()-1,"0000")</f>
        <v>FE-1061</v>
      </c>
      <c r="B62" s="10">
        <f ca="1">DATE(2026,1,1)+RANDBETWEEN(0,119)</f>
        <v>46079</v>
      </c>
      <c r="C62" s="9" t="str" cm="1">
        <f t="array" aca="1" ref="C62" ca="1">INDEX($Q$2:$Q$16,RANDBETWEEN(1,15))</f>
        <v>Distribuciones Itagüí Ferretera Ltda.</v>
      </c>
      <c r="D62" s="86" t="str">
        <f ca="1">VLOOKUP(C62,$R$2:$S$16,2,FALSE)</f>
        <v>901.456.789-4</v>
      </c>
      <c r="E62" s="9" t="str" cm="1">
        <f t="array" aca="1" ref="E62" ca="1">INDEX($R$2:$R$31,RANDBETWEEN(1,30))</f>
        <v>Destornillador de pala 1/4"</v>
      </c>
      <c r="F62" s="11">
        <f ca="1">RANDBETWEEN(1,50)</f>
        <v>12</v>
      </c>
      <c r="G62" s="12">
        <f ca="1">MROUND(RANDBETWEEN(1500,850000),100)</f>
        <v>203500</v>
      </c>
      <c r="H62" s="12">
        <f ca="1">F62*G62</f>
        <v>2442000</v>
      </c>
      <c r="I62" s="12">
        <f ca="1">ROUND(H62*0.19,0)</f>
        <v>463980</v>
      </c>
      <c r="J62" s="12">
        <f ca="1">H62+I62</f>
        <v>2905980</v>
      </c>
      <c r="K62" s="13">
        <f ca="1">IF(RANDBETWEEN(0,1)=0,0.025,0.035)</f>
        <v>3.5000000000000003E-2</v>
      </c>
      <c r="L62" s="12">
        <f ca="1">ROUND(H62*K62,0)</f>
        <v>85470</v>
      </c>
      <c r="M62" s="14">
        <f>0.01104</f>
        <v>1.1039999999999999E-2</v>
      </c>
      <c r="N62" s="12">
        <f ca="1">ROUND(H62*M62,0)</f>
        <v>26960</v>
      </c>
      <c r="O62" s="12">
        <f ca="1">J62-L62-N62</f>
        <v>2793550</v>
      </c>
    </row>
    <row r="63" spans="1:15" x14ac:dyDescent="0.35">
      <c r="A63" s="9" t="str">
        <f>"FE-"&amp;TEXT(1000+ROW()-1,"0000")</f>
        <v>FE-1062</v>
      </c>
      <c r="B63" s="10">
        <f ca="1">DATE(2026,1,1)+RANDBETWEEN(0,119)</f>
        <v>46035</v>
      </c>
      <c r="C63" s="9" t="str" cm="1">
        <f t="array" aca="1" ref="C63" ca="1">INDEX($Q$2:$Q$16,RANDBETWEEN(1,15))</f>
        <v>Aceros de la Montaña S.A.S.</v>
      </c>
      <c r="D63" s="86" t="str">
        <f ca="1">VLOOKUP(C63,$R$2:$S$16,2,FALSE)</f>
        <v>900.123.456-1</v>
      </c>
      <c r="E63" s="9" t="str" cm="1">
        <f t="array" aca="1" ref="E63" ca="1">INDEX($R$2:$R$31,RANDBETWEEN(1,30))</f>
        <v>Ferretería Antioqueña Ltda.</v>
      </c>
      <c r="F63" s="11">
        <f ca="1">RANDBETWEEN(1,50)</f>
        <v>8</v>
      </c>
      <c r="G63" s="12">
        <f ca="1">MROUND(RANDBETWEEN(1500,850000),100)</f>
        <v>369000</v>
      </c>
      <c r="H63" s="12">
        <f ca="1">F63*G63</f>
        <v>2952000</v>
      </c>
      <c r="I63" s="12">
        <f ca="1">ROUND(H63*0.19,0)</f>
        <v>560880</v>
      </c>
      <c r="J63" s="12">
        <f ca="1">H63+I63</f>
        <v>3512880</v>
      </c>
      <c r="K63" s="13">
        <f ca="1">IF(RANDBETWEEN(0,1)=0,0.025,0.035)</f>
        <v>2.5000000000000001E-2</v>
      </c>
      <c r="L63" s="12">
        <f ca="1">ROUND(H63*K63,0)</f>
        <v>73800</v>
      </c>
      <c r="M63" s="14">
        <f>0.01104</f>
        <v>1.1039999999999999E-2</v>
      </c>
      <c r="N63" s="12">
        <f ca="1">ROUND(H63*M63,0)</f>
        <v>32590</v>
      </c>
      <c r="O63" s="12">
        <f ca="1">J63-L63-N63</f>
        <v>3406490</v>
      </c>
    </row>
    <row r="64" spans="1:15" x14ac:dyDescent="0.35">
      <c r="A64" s="9" t="str">
        <f>"FE-"&amp;TEXT(1000+ROW()-1,"0000")</f>
        <v>FE-1063</v>
      </c>
      <c r="B64" s="10">
        <f ca="1">DATE(2026,1,1)+RANDBETWEEN(0,119)</f>
        <v>46057</v>
      </c>
      <c r="C64" s="9" t="str" cm="1">
        <f t="array" aca="1" ref="C64" ca="1">INDEX($Q$2:$Q$16,RANDBETWEEN(1,15))</f>
        <v>Tubos y Conexiones Envigado Ltda.</v>
      </c>
      <c r="D64" s="86" t="str">
        <f ca="1">VLOOKUP(C64,$R$2:$S$16,2,FALSE)</f>
        <v>901.012.345-0</v>
      </c>
      <c r="E64" s="9" t="str" cm="1">
        <f t="array" aca="1" ref="E64" ca="1">INDEX($R$2:$R$31,RANDBETWEEN(1,30))</f>
        <v>Aceros de la Montaña S.A.S.</v>
      </c>
      <c r="F64" s="11">
        <f ca="1">RANDBETWEEN(1,50)</f>
        <v>42</v>
      </c>
      <c r="G64" s="12">
        <f ca="1">MROUND(RANDBETWEEN(1500,850000),100)</f>
        <v>752600</v>
      </c>
      <c r="H64" s="12">
        <f ca="1">F64*G64</f>
        <v>31609200</v>
      </c>
      <c r="I64" s="12">
        <f ca="1">ROUND(H64*0.19,0)</f>
        <v>6005748</v>
      </c>
      <c r="J64" s="12">
        <f ca="1">H64+I64</f>
        <v>37614948</v>
      </c>
      <c r="K64" s="13">
        <f ca="1">IF(RANDBETWEEN(0,1)=0,0.025,0.035)</f>
        <v>2.5000000000000001E-2</v>
      </c>
      <c r="L64" s="12">
        <f ca="1">ROUND(H64*K64,0)</f>
        <v>790230</v>
      </c>
      <c r="M64" s="14">
        <f>0.01104</f>
        <v>1.1039999999999999E-2</v>
      </c>
      <c r="N64" s="12">
        <f ca="1">ROUND(H64*M64,0)</f>
        <v>348966</v>
      </c>
      <c r="O64" s="12">
        <f ca="1">J64-L64-N64</f>
        <v>36475752</v>
      </c>
    </row>
    <row r="65" spans="1:15" x14ac:dyDescent="0.35">
      <c r="A65" s="9" t="str">
        <f>"FE-"&amp;TEXT(1000+ROW()-1,"0000")</f>
        <v>FE-1064</v>
      </c>
      <c r="B65" s="10">
        <f ca="1">DATE(2026,1,1)+RANDBETWEEN(0,119)</f>
        <v>46129</v>
      </c>
      <c r="C65" s="9" t="str" cm="1">
        <f t="array" aca="1" ref="C65" ca="1">INDEX($Q$2:$Q$16,RANDBETWEEN(1,15))</f>
        <v>Tubos y Conexiones Envigado Ltda.</v>
      </c>
      <c r="D65" s="86" t="str">
        <f ca="1">VLOOKUP(C65,$R$2:$S$16,2,FALSE)</f>
        <v>901.012.345-0</v>
      </c>
      <c r="E65" s="9" t="str" cm="1">
        <f t="array" aca="1" ref="E65" ca="1">INDEX($R$2:$R$31,RANDBETWEEN(1,30))</f>
        <v>Tornillería Nacional del Valle de Aburrá</v>
      </c>
      <c r="F65" s="11">
        <f ca="1">RANDBETWEEN(1,50)</f>
        <v>49</v>
      </c>
      <c r="G65" s="12">
        <f ca="1">MROUND(RANDBETWEEN(1500,850000),100)</f>
        <v>35000</v>
      </c>
      <c r="H65" s="12">
        <f ca="1">F65*G65</f>
        <v>1715000</v>
      </c>
      <c r="I65" s="12">
        <f ca="1">ROUND(H65*0.19,0)</f>
        <v>325850</v>
      </c>
      <c r="J65" s="12">
        <f ca="1">H65+I65</f>
        <v>2040850</v>
      </c>
      <c r="K65" s="13">
        <f ca="1">IF(RANDBETWEEN(0,1)=0,0.025,0.035)</f>
        <v>3.5000000000000003E-2</v>
      </c>
      <c r="L65" s="12">
        <f ca="1">ROUND(H65*K65,0)</f>
        <v>60025</v>
      </c>
      <c r="M65" s="14">
        <f>0.01104</f>
        <v>1.1039999999999999E-2</v>
      </c>
      <c r="N65" s="12">
        <f ca="1">ROUND(H65*M65,0)</f>
        <v>18934</v>
      </c>
      <c r="O65" s="12">
        <f ca="1">J65-L65-N65</f>
        <v>1961891</v>
      </c>
    </row>
    <row r="66" spans="1:15" x14ac:dyDescent="0.35">
      <c r="A66" s="9" t="str">
        <f>"FE-"&amp;TEXT(1000+ROW()-1,"0000")</f>
        <v>FE-1065</v>
      </c>
      <c r="B66" s="10">
        <f ca="1">DATE(2026,1,1)+RANDBETWEEN(0,119)</f>
        <v>46100</v>
      </c>
      <c r="C66" s="9" t="str" cm="1">
        <f t="array" aca="1" ref="C66" ca="1">INDEX($Q$2:$Q$16,RANDBETWEEN(1,15))</f>
        <v>Ferretería Antioqueña Ltda.</v>
      </c>
      <c r="D66" s="86" t="str">
        <f ca="1">VLOOKUP(C66,$R$2:$S$16,2,FALSE)</f>
        <v>900.234.567-2</v>
      </c>
      <c r="E66" s="9" t="str" cm="1">
        <f t="array" aca="1" ref="E66" ca="1">INDEX($R$2:$R$31,RANDBETWEEN(1,30))</f>
        <v>Tornillería Nacional del Valle de Aburrá</v>
      </c>
      <c r="F66" s="11">
        <f ca="1">RANDBETWEEN(1,50)</f>
        <v>10</v>
      </c>
      <c r="G66" s="12">
        <f ca="1">MROUND(RANDBETWEEN(1500,850000),100)</f>
        <v>38100</v>
      </c>
      <c r="H66" s="12">
        <f ca="1">F66*G66</f>
        <v>381000</v>
      </c>
      <c r="I66" s="12">
        <f ca="1">ROUND(H66*0.19,0)</f>
        <v>72390</v>
      </c>
      <c r="J66" s="12">
        <f ca="1">H66+I66</f>
        <v>453390</v>
      </c>
      <c r="K66" s="13">
        <f ca="1">IF(RANDBETWEEN(0,1)=0,0.025,0.035)</f>
        <v>3.5000000000000003E-2</v>
      </c>
      <c r="L66" s="12">
        <f ca="1">ROUND(H66*K66,0)</f>
        <v>13335</v>
      </c>
      <c r="M66" s="14">
        <f>0.01104</f>
        <v>1.1039999999999999E-2</v>
      </c>
      <c r="N66" s="12">
        <f ca="1">ROUND(H66*M66,0)</f>
        <v>4206</v>
      </c>
      <c r="O66" s="12">
        <f ca="1">J66-L66-N66</f>
        <v>435849</v>
      </c>
    </row>
    <row r="67" spans="1:15" x14ac:dyDescent="0.35">
      <c r="A67" s="9" t="str">
        <f>"FE-"&amp;TEXT(1000+ROW()-1,"0000")</f>
        <v>FE-1066</v>
      </c>
      <c r="B67" s="10">
        <f ca="1">DATE(2026,1,1)+RANDBETWEEN(0,119)</f>
        <v>46068</v>
      </c>
      <c r="C67" s="9" t="str" cm="1">
        <f t="array" aca="1" ref="C67" ca="1">INDEX($Q$2:$Q$16,RANDBETWEEN(1,15))</f>
        <v>Ferretería Antioqueña Ltda.</v>
      </c>
      <c r="D67" s="86" t="str">
        <f ca="1">VLOOKUP(C67,$R$2:$S$16,2,FALSE)</f>
        <v>900.234.567-2</v>
      </c>
      <c r="E67" s="9" t="str" cm="1">
        <f t="array" aca="1" ref="E67" ca="1">INDEX($R$2:$R$31,RANDBETWEEN(1,30))</f>
        <v>Lámina de drywall 1.22x2.44m</v>
      </c>
      <c r="F67" s="11">
        <f ca="1">RANDBETWEEN(1,50)</f>
        <v>12</v>
      </c>
      <c r="G67" s="12">
        <f ca="1">MROUND(RANDBETWEEN(1500,850000),100)</f>
        <v>584800</v>
      </c>
      <c r="H67" s="12">
        <f ca="1">F67*G67</f>
        <v>7017600</v>
      </c>
      <c r="I67" s="12">
        <f ca="1">ROUND(H67*0.19,0)</f>
        <v>1333344</v>
      </c>
      <c r="J67" s="12">
        <f ca="1">H67+I67</f>
        <v>8350944</v>
      </c>
      <c r="K67" s="13">
        <f ca="1">IF(RANDBETWEEN(0,1)=0,0.025,0.035)</f>
        <v>2.5000000000000001E-2</v>
      </c>
      <c r="L67" s="12">
        <f ca="1">ROUND(H67*K67,0)</f>
        <v>175440</v>
      </c>
      <c r="M67" s="14">
        <f>0.01104</f>
        <v>1.1039999999999999E-2</v>
      </c>
      <c r="N67" s="12">
        <f ca="1">ROUND(H67*M67,0)</f>
        <v>77474</v>
      </c>
      <c r="O67" s="12">
        <f ca="1">J67-L67-N67</f>
        <v>8098030</v>
      </c>
    </row>
    <row r="68" spans="1:15" x14ac:dyDescent="0.35">
      <c r="A68" s="9" t="str">
        <f>"FE-"&amp;TEXT(1000+ROW()-1,"0000")</f>
        <v>FE-1067</v>
      </c>
      <c r="B68" s="10">
        <f ca="1">DATE(2026,1,1)+RANDBETWEEN(0,119)</f>
        <v>46073</v>
      </c>
      <c r="C68" s="9" t="str" cm="1">
        <f t="array" aca="1" ref="C68" ca="1">INDEX($Q$2:$Q$16,RANDBETWEEN(1,15))</f>
        <v>Aceros de la Montaña S.A.S.</v>
      </c>
      <c r="D68" s="86" t="str">
        <f ca="1">VLOOKUP(C68,$R$2:$S$16,2,FALSE)</f>
        <v>900.123.456-1</v>
      </c>
      <c r="E68" s="9" t="str" cm="1">
        <f t="array" aca="1" ref="E68" ca="1">INDEX($R$2:$R$31,RANDBETWEEN(1,30))</f>
        <v>Llave de tubo 14"</v>
      </c>
      <c r="F68" s="11">
        <f ca="1">RANDBETWEEN(1,50)</f>
        <v>11</v>
      </c>
      <c r="G68" s="12">
        <f ca="1">MROUND(RANDBETWEEN(1500,850000),100)</f>
        <v>16500</v>
      </c>
      <c r="H68" s="12">
        <f ca="1">F68*G68</f>
        <v>181500</v>
      </c>
      <c r="I68" s="12">
        <f ca="1">ROUND(H68*0.19,0)</f>
        <v>34485</v>
      </c>
      <c r="J68" s="12">
        <f ca="1">H68+I68</f>
        <v>215985</v>
      </c>
      <c r="K68" s="13">
        <f ca="1">IF(RANDBETWEEN(0,1)=0,0.025,0.035)</f>
        <v>3.5000000000000003E-2</v>
      </c>
      <c r="L68" s="12">
        <f ca="1">ROUND(H68*K68,0)</f>
        <v>6353</v>
      </c>
      <c r="M68" s="14">
        <f>0.01104</f>
        <v>1.1039999999999999E-2</v>
      </c>
      <c r="N68" s="12">
        <f ca="1">ROUND(H68*M68,0)</f>
        <v>2004</v>
      </c>
      <c r="O68" s="12">
        <f ca="1">J68-L68-N68</f>
        <v>207628</v>
      </c>
    </row>
    <row r="69" spans="1:15" x14ac:dyDescent="0.35">
      <c r="A69" s="9" t="str">
        <f>"FE-"&amp;TEXT(1000+ROW()-1,"0000")</f>
        <v>FE-1068</v>
      </c>
      <c r="B69" s="10">
        <f ca="1">DATE(2026,1,1)+RANDBETWEEN(0,119)</f>
        <v>46116</v>
      </c>
      <c r="C69" s="9" t="str" cm="1">
        <f t="array" aca="1" ref="C69" ca="1">INDEX($Q$2:$Q$16,RANDBETWEEN(1,15))</f>
        <v>Herramientas Industriales Medellín S.A.S.</v>
      </c>
      <c r="D69" s="86" t="str">
        <f ca="1">VLOOKUP(C69,$R$2:$S$16,2,FALSE)</f>
        <v>900.567.890-5</v>
      </c>
      <c r="E69" s="9" t="str" cm="1">
        <f t="array" aca="1" ref="E69" ca="1">INDEX($R$2:$R$31,RANDBETWEEN(1,30))</f>
        <v>Guantes de carnaza par</v>
      </c>
      <c r="F69" s="11">
        <f ca="1">RANDBETWEEN(1,50)</f>
        <v>35</v>
      </c>
      <c r="G69" s="12">
        <f ca="1">MROUND(RANDBETWEEN(1500,850000),100)</f>
        <v>147000</v>
      </c>
      <c r="H69" s="12">
        <f ca="1">F69*G69</f>
        <v>5145000</v>
      </c>
      <c r="I69" s="12">
        <f ca="1">ROUND(H69*0.19,0)</f>
        <v>977550</v>
      </c>
      <c r="J69" s="12">
        <f ca="1">H69+I69</f>
        <v>6122550</v>
      </c>
      <c r="K69" s="13">
        <f ca="1">IF(RANDBETWEEN(0,1)=0,0.025,0.035)</f>
        <v>2.5000000000000001E-2</v>
      </c>
      <c r="L69" s="12">
        <f ca="1">ROUND(H69*K69,0)</f>
        <v>128625</v>
      </c>
      <c r="M69" s="14">
        <f>0.01104</f>
        <v>1.1039999999999999E-2</v>
      </c>
      <c r="N69" s="12">
        <f ca="1">ROUND(H69*M69,0)</f>
        <v>56801</v>
      </c>
      <c r="O69" s="12">
        <f ca="1">J69-L69-N69</f>
        <v>5937124</v>
      </c>
    </row>
    <row r="70" spans="1:15" x14ac:dyDescent="0.35">
      <c r="A70" s="9" t="str">
        <f>"FE-"&amp;TEXT(1000+ROW()-1,"0000")</f>
        <v>FE-1069</v>
      </c>
      <c r="B70" s="10">
        <f ca="1">DATE(2026,1,1)+RANDBETWEEN(0,119)</f>
        <v>46095</v>
      </c>
      <c r="C70" s="9" t="str" cm="1">
        <f t="array" aca="1" ref="C70" ca="1">INDEX($Q$2:$Q$16,RANDBETWEEN(1,15))</f>
        <v>Tubos y Conexiones Envigado Ltda.</v>
      </c>
      <c r="D70" s="86" t="str">
        <f ca="1">VLOOKUP(C70,$R$2:$S$16,2,FALSE)</f>
        <v>901.012.345-0</v>
      </c>
      <c r="E70" s="9" t="str" cm="1">
        <f t="array" aca="1" ref="E70" ca="1">INDEX($R$2:$R$31,RANDBETWEEN(1,30))</f>
        <v>Bloque de concreto 10x20x40</v>
      </c>
      <c r="F70" s="11">
        <f ca="1">RANDBETWEEN(1,50)</f>
        <v>45</v>
      </c>
      <c r="G70" s="12">
        <f ca="1">MROUND(RANDBETWEEN(1500,850000),100)</f>
        <v>163900</v>
      </c>
      <c r="H70" s="12">
        <f ca="1">F70*G70</f>
        <v>7375500</v>
      </c>
      <c r="I70" s="12">
        <f ca="1">ROUND(H70*0.19,0)</f>
        <v>1401345</v>
      </c>
      <c r="J70" s="12">
        <f ca="1">H70+I70</f>
        <v>8776845</v>
      </c>
      <c r="K70" s="13">
        <f ca="1">IF(RANDBETWEEN(0,1)=0,0.025,0.035)</f>
        <v>3.5000000000000003E-2</v>
      </c>
      <c r="L70" s="12">
        <f ca="1">ROUND(H70*K70,0)</f>
        <v>258143</v>
      </c>
      <c r="M70" s="14">
        <f>0.01104</f>
        <v>1.1039999999999999E-2</v>
      </c>
      <c r="N70" s="12">
        <f ca="1">ROUND(H70*M70,0)</f>
        <v>81426</v>
      </c>
      <c r="O70" s="12">
        <f ca="1">J70-L70-N70</f>
        <v>8437276</v>
      </c>
    </row>
    <row r="71" spans="1:15" x14ac:dyDescent="0.35">
      <c r="A71" s="9" t="str">
        <f>"FE-"&amp;TEXT(1000+ROW()-1,"0000")</f>
        <v>FE-1070</v>
      </c>
      <c r="B71" s="10">
        <f ca="1">DATE(2026,1,1)+RANDBETWEEN(0,119)</f>
        <v>46033</v>
      </c>
      <c r="C71" s="9" t="str" cm="1">
        <f t="array" aca="1" ref="C71" ca="1">INDEX($Q$2:$Q$16,RANDBETWEEN(1,15))</f>
        <v>Ferretería Antioqueña Ltda.</v>
      </c>
      <c r="D71" s="86" t="str">
        <f ca="1">VLOOKUP(C71,$R$2:$S$16,2,FALSE)</f>
        <v>900.234.567-2</v>
      </c>
      <c r="E71" s="9" t="str" cm="1">
        <f t="array" aca="1" ref="E71" ca="1">INDEX($R$2:$R$31,RANDBETWEEN(1,30))</f>
        <v>Acabados y Construcción Poblado S.A.S.</v>
      </c>
      <c r="F71" s="11">
        <f ca="1">RANDBETWEEN(1,50)</f>
        <v>41</v>
      </c>
      <c r="G71" s="12">
        <f ca="1">MROUND(RANDBETWEEN(1500,850000),100)</f>
        <v>823200</v>
      </c>
      <c r="H71" s="12">
        <f ca="1">F71*G71</f>
        <v>33751200</v>
      </c>
      <c r="I71" s="12">
        <f ca="1">ROUND(H71*0.19,0)</f>
        <v>6412728</v>
      </c>
      <c r="J71" s="12">
        <f ca="1">H71+I71</f>
        <v>40163928</v>
      </c>
      <c r="K71" s="13">
        <f ca="1">IF(RANDBETWEEN(0,1)=0,0.025,0.035)</f>
        <v>2.5000000000000001E-2</v>
      </c>
      <c r="L71" s="12">
        <f ca="1">ROUND(H71*K71,0)</f>
        <v>843780</v>
      </c>
      <c r="M71" s="14">
        <f>0.01104</f>
        <v>1.1039999999999999E-2</v>
      </c>
      <c r="N71" s="12">
        <f ca="1">ROUND(H71*M71,0)</f>
        <v>372613</v>
      </c>
      <c r="O71" s="12">
        <f ca="1">J71-L71-N71</f>
        <v>38947535</v>
      </c>
    </row>
    <row r="72" spans="1:15" x14ac:dyDescent="0.35">
      <c r="A72" s="9" t="str">
        <f>"FE-"&amp;TEXT(1000+ROW()-1,"0000")</f>
        <v>FE-1071</v>
      </c>
      <c r="B72" s="10">
        <f ca="1">DATE(2026,1,1)+RANDBETWEEN(0,119)</f>
        <v>46104</v>
      </c>
      <c r="C72" s="9" t="str" cm="1">
        <f t="array" aca="1" ref="C72" ca="1">INDEX($Q$2:$Q$16,RANDBETWEEN(1,15))</f>
        <v>Suministros Ferreteros La 80 Ltda.</v>
      </c>
      <c r="D72" s="86" t="str">
        <f ca="1">VLOOKUP(C72,$R$2:$S$16,2,FALSE)</f>
        <v>900.678.901-6</v>
      </c>
      <c r="E72" s="9" t="str" cm="1">
        <f t="array" aca="1" ref="E72" ca="1">INDEX($R$2:$R$31,RANDBETWEEN(1,30))</f>
        <v>Hierros y Mallas Bello S.A.S.</v>
      </c>
      <c r="F72" s="11">
        <f ca="1">RANDBETWEEN(1,50)</f>
        <v>26</v>
      </c>
      <c r="G72" s="12">
        <f ca="1">MROUND(RANDBETWEEN(1500,850000),100)</f>
        <v>46300</v>
      </c>
      <c r="H72" s="12">
        <f ca="1">F72*G72</f>
        <v>1203800</v>
      </c>
      <c r="I72" s="12">
        <f ca="1">ROUND(H72*0.19,0)</f>
        <v>228722</v>
      </c>
      <c r="J72" s="12">
        <f ca="1">H72+I72</f>
        <v>1432522</v>
      </c>
      <c r="K72" s="13">
        <f ca="1">IF(RANDBETWEEN(0,1)=0,0.025,0.035)</f>
        <v>2.5000000000000001E-2</v>
      </c>
      <c r="L72" s="12">
        <f ca="1">ROUND(H72*K72,0)</f>
        <v>30095</v>
      </c>
      <c r="M72" s="14">
        <f>0.01104</f>
        <v>1.1039999999999999E-2</v>
      </c>
      <c r="N72" s="12">
        <f ca="1">ROUND(H72*M72,0)</f>
        <v>13290</v>
      </c>
      <c r="O72" s="12">
        <f ca="1">J72-L72-N72</f>
        <v>1389137</v>
      </c>
    </row>
    <row r="73" spans="1:15" x14ac:dyDescent="0.35">
      <c r="A73" s="9" t="str">
        <f>"FE-"&amp;TEXT(1000+ROW()-1,"0000")</f>
        <v>FE-1072</v>
      </c>
      <c r="B73" s="10">
        <f ca="1">DATE(2026,1,1)+RANDBETWEEN(0,119)</f>
        <v>46056</v>
      </c>
      <c r="C73" s="9" t="str" cm="1">
        <f t="array" aca="1" ref="C73" ca="1">INDEX($Q$2:$Q$16,RANDBETWEEN(1,15))</f>
        <v>Herramientas Industriales Medellín S.A.S.</v>
      </c>
      <c r="D73" s="86" t="str">
        <f ca="1">VLOOKUP(C73,$R$2:$S$16,2,FALSE)</f>
        <v>900.567.890-5</v>
      </c>
      <c r="E73" s="9" t="str" cm="1">
        <f t="array" aca="1" ref="E73" ca="1">INDEX($R$2:$R$31,RANDBETWEEN(1,30))</f>
        <v>Teja eternit ondulada No. 6</v>
      </c>
      <c r="F73" s="11">
        <f ca="1">RANDBETWEEN(1,50)</f>
        <v>48</v>
      </c>
      <c r="G73" s="12">
        <f ca="1">MROUND(RANDBETWEEN(1500,850000),100)</f>
        <v>471600</v>
      </c>
      <c r="H73" s="12">
        <f ca="1">F73*G73</f>
        <v>22636800</v>
      </c>
      <c r="I73" s="12">
        <f ca="1">ROUND(H73*0.19,0)</f>
        <v>4300992</v>
      </c>
      <c r="J73" s="12">
        <f ca="1">H73+I73</f>
        <v>26937792</v>
      </c>
      <c r="K73" s="13">
        <f ca="1">IF(RANDBETWEEN(0,1)=0,0.025,0.035)</f>
        <v>3.5000000000000003E-2</v>
      </c>
      <c r="L73" s="12">
        <f ca="1">ROUND(H73*K73,0)</f>
        <v>792288</v>
      </c>
      <c r="M73" s="14">
        <f>0.01104</f>
        <v>1.1039999999999999E-2</v>
      </c>
      <c r="N73" s="12">
        <f ca="1">ROUND(H73*M73,0)</f>
        <v>249910</v>
      </c>
      <c r="O73" s="12">
        <f ca="1">J73-L73-N73</f>
        <v>25895594</v>
      </c>
    </row>
    <row r="74" spans="1:15" x14ac:dyDescent="0.35">
      <c r="A74" s="9" t="str">
        <f>"FE-"&amp;TEXT(1000+ROW()-1,"0000")</f>
        <v>FE-1073</v>
      </c>
      <c r="B74" s="10">
        <f ca="1">DATE(2026,1,1)+RANDBETWEEN(0,119)</f>
        <v>46075</v>
      </c>
      <c r="C74" s="9" t="str" cm="1">
        <f t="array" aca="1" ref="C74" ca="1">INDEX($Q$2:$Q$16,RANDBETWEEN(1,15))</f>
        <v>Ferretería Antioqueña Ltda.</v>
      </c>
      <c r="D74" s="86" t="str">
        <f ca="1">VLOOKUP(C74,$R$2:$S$16,2,FALSE)</f>
        <v>900.234.567-2</v>
      </c>
      <c r="E74" s="9" t="str" cm="1">
        <f t="array" aca="1" ref="E74" ca="1">INDEX($R$2:$R$31,RANDBETWEEN(1,30))</f>
        <v>Destornillador de pala 1/4"</v>
      </c>
      <c r="F74" s="11">
        <f ca="1">RANDBETWEEN(1,50)</f>
        <v>41</v>
      </c>
      <c r="G74" s="12">
        <f ca="1">MROUND(RANDBETWEEN(1500,850000),100)</f>
        <v>211600</v>
      </c>
      <c r="H74" s="12">
        <f ca="1">F74*G74</f>
        <v>8675600</v>
      </c>
      <c r="I74" s="12">
        <f ca="1">ROUND(H74*0.19,0)</f>
        <v>1648364</v>
      </c>
      <c r="J74" s="12">
        <f ca="1">H74+I74</f>
        <v>10323964</v>
      </c>
      <c r="K74" s="13">
        <f ca="1">IF(RANDBETWEEN(0,1)=0,0.025,0.035)</f>
        <v>2.5000000000000001E-2</v>
      </c>
      <c r="L74" s="12">
        <f ca="1">ROUND(H74*K74,0)</f>
        <v>216890</v>
      </c>
      <c r="M74" s="14">
        <f>0.01104</f>
        <v>1.1039999999999999E-2</v>
      </c>
      <c r="N74" s="12">
        <f ca="1">ROUND(H74*M74,0)</f>
        <v>95779</v>
      </c>
      <c r="O74" s="12">
        <f ca="1">J74-L74-N74</f>
        <v>10011295</v>
      </c>
    </row>
    <row r="75" spans="1:15" x14ac:dyDescent="0.35">
      <c r="A75" s="9" t="str">
        <f>"FE-"&amp;TEXT(1000+ROW()-1,"0000")</f>
        <v>FE-1074</v>
      </c>
      <c r="B75" s="10">
        <f ca="1">DATE(2026,1,1)+RANDBETWEEN(0,119)</f>
        <v>46033</v>
      </c>
      <c r="C75" s="9" t="str" cm="1">
        <f t="array" aca="1" ref="C75" ca="1">INDEX($Q$2:$Q$16,RANDBETWEEN(1,15))</f>
        <v>Cementos y Materiales Paisa S.A.</v>
      </c>
      <c r="D75" s="86" t="str">
        <f ca="1">VLOOKUP(C75,$R$2:$S$16,2,FALSE)</f>
        <v>900.456.789-4</v>
      </c>
      <c r="E75" s="9" t="str" cm="1">
        <f t="array" aca="1" ref="E75" ca="1">INDEX($R$2:$R$31,RANDBETWEEN(1,30))</f>
        <v>Guantes de carnaza par</v>
      </c>
      <c r="F75" s="11">
        <f ca="1">RANDBETWEEN(1,50)</f>
        <v>20</v>
      </c>
      <c r="G75" s="12">
        <f ca="1">MROUND(RANDBETWEEN(1500,850000),100)</f>
        <v>193700</v>
      </c>
      <c r="H75" s="12">
        <f ca="1">F75*G75</f>
        <v>3874000</v>
      </c>
      <c r="I75" s="12">
        <f ca="1">ROUND(H75*0.19,0)</f>
        <v>736060</v>
      </c>
      <c r="J75" s="12">
        <f ca="1">H75+I75</f>
        <v>4610060</v>
      </c>
      <c r="K75" s="13">
        <f ca="1">IF(RANDBETWEEN(0,1)=0,0.025,0.035)</f>
        <v>2.5000000000000001E-2</v>
      </c>
      <c r="L75" s="12">
        <f ca="1">ROUND(H75*K75,0)</f>
        <v>96850</v>
      </c>
      <c r="M75" s="14">
        <f>0.01104</f>
        <v>1.1039999999999999E-2</v>
      </c>
      <c r="N75" s="12">
        <f ca="1">ROUND(H75*M75,0)</f>
        <v>42769</v>
      </c>
      <c r="O75" s="12">
        <f ca="1">J75-L75-N75</f>
        <v>4470441</v>
      </c>
    </row>
    <row r="76" spans="1:15" x14ac:dyDescent="0.35">
      <c r="A76" s="9" t="str">
        <f>"FE-"&amp;TEXT(1000+ROW()-1,"0000")</f>
        <v>FE-1075</v>
      </c>
      <c r="B76" s="10">
        <f ca="1">DATE(2026,1,1)+RANDBETWEEN(0,119)</f>
        <v>46052</v>
      </c>
      <c r="C76" s="9" t="str" cm="1">
        <f t="array" aca="1" ref="C76" ca="1">INDEX($Q$2:$Q$16,RANDBETWEEN(1,15))</f>
        <v>Hierros y Mallas Bello S.A.S.</v>
      </c>
      <c r="D76" s="86" t="str">
        <f ca="1">VLOOKUP(C76,$R$2:$S$16,2,FALSE)</f>
        <v>900.901.234-9</v>
      </c>
      <c r="E76" s="9" t="str" cm="1">
        <f t="array" aca="1" ref="E76" ca="1">INDEX($R$2:$R$31,RANDBETWEEN(1,30))</f>
        <v>Esmeril angular 4-1/2" 850W</v>
      </c>
      <c r="F76" s="11">
        <f ca="1">RANDBETWEEN(1,50)</f>
        <v>43</v>
      </c>
      <c r="G76" s="12">
        <f ca="1">MROUND(RANDBETWEEN(1500,850000),100)</f>
        <v>847300</v>
      </c>
      <c r="H76" s="12">
        <f ca="1">F76*G76</f>
        <v>36433900</v>
      </c>
      <c r="I76" s="12">
        <f ca="1">ROUND(H76*0.19,0)</f>
        <v>6922441</v>
      </c>
      <c r="J76" s="12">
        <f ca="1">H76+I76</f>
        <v>43356341</v>
      </c>
      <c r="K76" s="13">
        <f ca="1">IF(RANDBETWEEN(0,1)=0,0.025,0.035)</f>
        <v>3.5000000000000003E-2</v>
      </c>
      <c r="L76" s="12">
        <f ca="1">ROUND(H76*K76,0)</f>
        <v>1275187</v>
      </c>
      <c r="M76" s="14">
        <f>0.01104</f>
        <v>1.1039999999999999E-2</v>
      </c>
      <c r="N76" s="12">
        <f ca="1">ROUND(H76*M76,0)</f>
        <v>402230</v>
      </c>
      <c r="O76" s="12">
        <f ca="1">J76-L76-N76</f>
        <v>41678924</v>
      </c>
    </row>
    <row r="77" spans="1:15" x14ac:dyDescent="0.35">
      <c r="A77" s="9" t="str">
        <f>"FE-"&amp;TEXT(1000+ROW()-1,"0000")</f>
        <v>FE-1076</v>
      </c>
      <c r="B77" s="10">
        <f ca="1">DATE(2026,1,1)+RANDBETWEEN(0,119)</f>
        <v>46085</v>
      </c>
      <c r="C77" s="9" t="str" cm="1">
        <f t="array" aca="1" ref="C77" ca="1">INDEX($Q$2:$Q$16,RANDBETWEEN(1,15))</f>
        <v>Tornillería Nacional del Valle de Aburrá</v>
      </c>
      <c r="D77" s="86" t="str">
        <f ca="1">VLOOKUP(C77,$R$2:$S$16,2,FALSE)</f>
        <v>900.890.123-8</v>
      </c>
      <c r="E77" s="9" t="str" cm="1">
        <f t="array" aca="1" ref="E77" ca="1">INDEX($R$2:$R$31,RANDBETWEEN(1,30))</f>
        <v>Suministros Ferreteros La 80 Ltda.</v>
      </c>
      <c r="F77" s="11">
        <f ca="1">RANDBETWEEN(1,50)</f>
        <v>40</v>
      </c>
      <c r="G77" s="12">
        <f ca="1">MROUND(RANDBETWEEN(1500,850000),100)</f>
        <v>756700</v>
      </c>
      <c r="H77" s="12">
        <f ca="1">F77*G77</f>
        <v>30268000</v>
      </c>
      <c r="I77" s="12">
        <f ca="1">ROUND(H77*0.19,0)</f>
        <v>5750920</v>
      </c>
      <c r="J77" s="12">
        <f ca="1">H77+I77</f>
        <v>36018920</v>
      </c>
      <c r="K77" s="13">
        <f ca="1">IF(RANDBETWEEN(0,1)=0,0.025,0.035)</f>
        <v>3.5000000000000003E-2</v>
      </c>
      <c r="L77" s="12">
        <f ca="1">ROUND(H77*K77,0)</f>
        <v>1059380</v>
      </c>
      <c r="M77" s="14">
        <f>0.01104</f>
        <v>1.1039999999999999E-2</v>
      </c>
      <c r="N77" s="12">
        <f ca="1">ROUND(H77*M77,0)</f>
        <v>334159</v>
      </c>
      <c r="O77" s="12">
        <f ca="1">J77-L77-N77</f>
        <v>34625381</v>
      </c>
    </row>
    <row r="78" spans="1:15" x14ac:dyDescent="0.35">
      <c r="A78" s="9" t="str">
        <f>"FE-"&amp;TEXT(1000+ROW()-1,"0000")</f>
        <v>FE-1077</v>
      </c>
      <c r="B78" s="10">
        <f ca="1">DATE(2026,1,1)+RANDBETWEEN(0,119)</f>
        <v>46052</v>
      </c>
      <c r="C78" s="9" t="str" cm="1">
        <f t="array" aca="1" ref="C78" ca="1">INDEX($Q$2:$Q$16,RANDBETWEEN(1,15))</f>
        <v>Pinturas y Acabados Aburrá S.A.S.</v>
      </c>
      <c r="D78" s="86" t="str">
        <f ca="1">VLOOKUP(C78,$R$2:$S$16,2,FALSE)</f>
        <v>900.789.012-7</v>
      </c>
      <c r="E78" s="9" t="str" cm="1">
        <f t="array" aca="1" ref="E78" ca="1">INDEX($R$2:$R$31,RANDBETWEEN(1,30))</f>
        <v>Distribuciones Itagüí Ferretera Ltda.</v>
      </c>
      <c r="F78" s="11">
        <f ca="1">RANDBETWEEN(1,50)</f>
        <v>45</v>
      </c>
      <c r="G78" s="12">
        <f ca="1">MROUND(RANDBETWEEN(1500,850000),100)</f>
        <v>156200</v>
      </c>
      <c r="H78" s="12">
        <f ca="1">F78*G78</f>
        <v>7029000</v>
      </c>
      <c r="I78" s="12">
        <f ca="1">ROUND(H78*0.19,0)</f>
        <v>1335510</v>
      </c>
      <c r="J78" s="12">
        <f ca="1">H78+I78</f>
        <v>8364510</v>
      </c>
      <c r="K78" s="13">
        <f ca="1">IF(RANDBETWEEN(0,1)=0,0.025,0.035)</f>
        <v>3.5000000000000003E-2</v>
      </c>
      <c r="L78" s="12">
        <f ca="1">ROUND(H78*K78,0)</f>
        <v>246015</v>
      </c>
      <c r="M78" s="14">
        <f>0.01104</f>
        <v>1.1039999999999999E-2</v>
      </c>
      <c r="N78" s="12">
        <f ca="1">ROUND(H78*M78,0)</f>
        <v>77600</v>
      </c>
      <c r="O78" s="12">
        <f ca="1">J78-L78-N78</f>
        <v>8040895</v>
      </c>
    </row>
    <row r="79" spans="1:15" x14ac:dyDescent="0.35">
      <c r="A79" s="9" t="str">
        <f>"FE-"&amp;TEXT(1000+ROW()-1,"0000")</f>
        <v>FE-1078</v>
      </c>
      <c r="B79" s="10">
        <f ca="1">DATE(2026,1,1)+RANDBETWEEN(0,119)</f>
        <v>46053</v>
      </c>
      <c r="C79" s="9" t="str" cm="1">
        <f t="array" aca="1" ref="C79" ca="1">INDEX($Q$2:$Q$16,RANDBETWEEN(1,15))</f>
        <v>Aceros de la Montaña S.A.S.</v>
      </c>
      <c r="D79" s="86" t="str">
        <f ca="1">VLOOKUP(C79,$R$2:$S$16,2,FALSE)</f>
        <v>900.123.456-1</v>
      </c>
      <c r="E79" s="9" t="str" cm="1">
        <f t="array" aca="1" ref="E79" ca="1">INDEX($R$2:$R$31,RANDBETWEEN(1,30))</f>
        <v>Llave de tubo 14"</v>
      </c>
      <c r="F79" s="11">
        <f ca="1">RANDBETWEEN(1,50)</f>
        <v>32</v>
      </c>
      <c r="G79" s="12">
        <f ca="1">MROUND(RANDBETWEEN(1500,850000),100)</f>
        <v>582500</v>
      </c>
      <c r="H79" s="12">
        <f ca="1">F79*G79</f>
        <v>18640000</v>
      </c>
      <c r="I79" s="12">
        <f ca="1">ROUND(H79*0.19,0)</f>
        <v>3541600</v>
      </c>
      <c r="J79" s="12">
        <f ca="1">H79+I79</f>
        <v>22181600</v>
      </c>
      <c r="K79" s="13">
        <f ca="1">IF(RANDBETWEEN(0,1)=0,0.025,0.035)</f>
        <v>3.5000000000000003E-2</v>
      </c>
      <c r="L79" s="12">
        <f ca="1">ROUND(H79*K79,0)</f>
        <v>652400</v>
      </c>
      <c r="M79" s="14">
        <f>0.01104</f>
        <v>1.1039999999999999E-2</v>
      </c>
      <c r="N79" s="12">
        <f ca="1">ROUND(H79*M79,0)</f>
        <v>205786</v>
      </c>
      <c r="O79" s="12">
        <f ca="1">J79-L79-N79</f>
        <v>21323414</v>
      </c>
    </row>
    <row r="80" spans="1:15" x14ac:dyDescent="0.35">
      <c r="A80" s="9" t="str">
        <f>"FE-"&amp;TEXT(1000+ROW()-1,"0000")</f>
        <v>FE-1079</v>
      </c>
      <c r="B80" s="10">
        <f ca="1">DATE(2026,1,1)+RANDBETWEEN(0,119)</f>
        <v>46080</v>
      </c>
      <c r="C80" s="9" t="str" cm="1">
        <f t="array" aca="1" ref="C80" ca="1">INDEX($Q$2:$Q$16,RANDBETWEEN(1,15))</f>
        <v>Tornillería Nacional del Valle de Aburrá</v>
      </c>
      <c r="D80" s="86" t="str">
        <f ca="1">VLOOKUP(C80,$R$2:$S$16,2,FALSE)</f>
        <v>900.890.123-8</v>
      </c>
      <c r="E80" s="9" t="str" cm="1">
        <f t="array" aca="1" ref="E80" ca="1">INDEX($R$2:$R$31,RANDBETWEEN(1,30))</f>
        <v>Herramientas Industriales Medellín S.A.S.</v>
      </c>
      <c r="F80" s="11">
        <f ca="1">RANDBETWEEN(1,50)</f>
        <v>5</v>
      </c>
      <c r="G80" s="12">
        <f ca="1">MROUND(RANDBETWEEN(1500,850000),100)</f>
        <v>69300</v>
      </c>
      <c r="H80" s="12">
        <f ca="1">F80*G80</f>
        <v>346500</v>
      </c>
      <c r="I80" s="12">
        <f ca="1">ROUND(H80*0.19,0)</f>
        <v>65835</v>
      </c>
      <c r="J80" s="12">
        <f ca="1">H80+I80</f>
        <v>412335</v>
      </c>
      <c r="K80" s="13">
        <f ca="1">IF(RANDBETWEEN(0,1)=0,0.025,0.035)</f>
        <v>3.5000000000000003E-2</v>
      </c>
      <c r="L80" s="12">
        <f ca="1">ROUND(H80*K80,0)</f>
        <v>12128</v>
      </c>
      <c r="M80" s="14">
        <f>0.01104</f>
        <v>1.1039999999999999E-2</v>
      </c>
      <c r="N80" s="12">
        <f ca="1">ROUND(H80*M80,0)</f>
        <v>3825</v>
      </c>
      <c r="O80" s="12">
        <f ca="1">J80-L80-N80</f>
        <v>396382</v>
      </c>
    </row>
    <row r="81" spans="1:15" x14ac:dyDescent="0.35">
      <c r="A81" s="9" t="str">
        <f>"FE-"&amp;TEXT(1000+ROW()-1,"0000")</f>
        <v>FE-1080</v>
      </c>
      <c r="B81" s="10">
        <f ca="1">DATE(2026,1,1)+RANDBETWEEN(0,119)</f>
        <v>46096</v>
      </c>
      <c r="C81" s="9" t="str" cm="1">
        <f t="array" aca="1" ref="C81" ca="1">INDEX($Q$2:$Q$16,RANDBETWEEN(1,15))</f>
        <v>Distribuidora El Martillo de Oro S.A.S.</v>
      </c>
      <c r="D81" s="86" t="str">
        <f ca="1">VLOOKUP(C81,$R$2:$S$16,2,FALSE)</f>
        <v>900.345.678-3</v>
      </c>
      <c r="E81" s="9" t="str" cm="1">
        <f t="array" aca="1" ref="E81" ca="1">INDEX($R$2:$R$31,RANDBETWEEN(1,30))</f>
        <v>Herramientas Industriales Medellín S.A.S.</v>
      </c>
      <c r="F81" s="11">
        <f ca="1">RANDBETWEEN(1,50)</f>
        <v>28</v>
      </c>
      <c r="G81" s="12">
        <f ca="1">MROUND(RANDBETWEEN(1500,850000),100)</f>
        <v>750800</v>
      </c>
      <c r="H81" s="12">
        <f ca="1">F81*G81</f>
        <v>21022400</v>
      </c>
      <c r="I81" s="12">
        <f ca="1">ROUND(H81*0.19,0)</f>
        <v>3994256</v>
      </c>
      <c r="J81" s="12">
        <f ca="1">H81+I81</f>
        <v>25016656</v>
      </c>
      <c r="K81" s="13">
        <f ca="1">IF(RANDBETWEEN(0,1)=0,0.025,0.035)</f>
        <v>2.5000000000000001E-2</v>
      </c>
      <c r="L81" s="12">
        <f ca="1">ROUND(H81*K81,0)</f>
        <v>525560</v>
      </c>
      <c r="M81" s="14">
        <f>0.01104</f>
        <v>1.1039999999999999E-2</v>
      </c>
      <c r="N81" s="12">
        <f ca="1">ROUND(H81*M81,0)</f>
        <v>232087</v>
      </c>
      <c r="O81" s="12">
        <f ca="1">J81-L81-N81</f>
        <v>24259009</v>
      </c>
    </row>
    <row r="82" spans="1:15" x14ac:dyDescent="0.35">
      <c r="A82" s="9" t="str">
        <f>"FE-"&amp;TEXT(1000+ROW()-1,"0000")</f>
        <v>FE-1081</v>
      </c>
      <c r="B82" s="10">
        <f ca="1">DATE(2026,1,1)+RANDBETWEEN(0,119)</f>
        <v>46077</v>
      </c>
      <c r="C82" s="9" t="str" cm="1">
        <f t="array" aca="1" ref="C82" ca="1">INDEX($Q$2:$Q$16,RANDBETWEEN(1,15))</f>
        <v>Cementos y Materiales Paisa S.A.</v>
      </c>
      <c r="D82" s="86" t="str">
        <f ca="1">VLOOKUP(C82,$R$2:$S$16,2,FALSE)</f>
        <v>900.456.789-4</v>
      </c>
      <c r="E82" s="9" t="str" cm="1">
        <f t="array" aca="1" ref="E82" ca="1">INDEX($R$2:$R$31,RANDBETWEEN(1,30))</f>
        <v>Destornillador de pala 1/4"</v>
      </c>
      <c r="F82" s="11">
        <f ca="1">RANDBETWEEN(1,50)</f>
        <v>46</v>
      </c>
      <c r="G82" s="12">
        <f ca="1">MROUND(RANDBETWEEN(1500,850000),100)</f>
        <v>370900</v>
      </c>
      <c r="H82" s="12">
        <f ca="1">F82*G82</f>
        <v>17061400</v>
      </c>
      <c r="I82" s="12">
        <f ca="1">ROUND(H82*0.19,0)</f>
        <v>3241666</v>
      </c>
      <c r="J82" s="12">
        <f ca="1">H82+I82</f>
        <v>20303066</v>
      </c>
      <c r="K82" s="13">
        <f ca="1">IF(RANDBETWEEN(0,1)=0,0.025,0.035)</f>
        <v>2.5000000000000001E-2</v>
      </c>
      <c r="L82" s="12">
        <f ca="1">ROUND(H82*K82,0)</f>
        <v>426535</v>
      </c>
      <c r="M82" s="14">
        <f>0.01104</f>
        <v>1.1039999999999999E-2</v>
      </c>
      <c r="N82" s="12">
        <f ca="1">ROUND(H82*M82,0)</f>
        <v>188358</v>
      </c>
      <c r="O82" s="12">
        <f ca="1">J82-L82-N82</f>
        <v>19688173</v>
      </c>
    </row>
    <row r="83" spans="1:15" x14ac:dyDescent="0.35">
      <c r="A83" s="9" t="str">
        <f>"FE-"&amp;TEXT(1000+ROW()-1,"0000")</f>
        <v>FE-1082</v>
      </c>
      <c r="B83" s="10">
        <f ca="1">DATE(2026,1,1)+RANDBETWEEN(0,119)</f>
        <v>46126</v>
      </c>
      <c r="C83" s="9" t="str" cm="1">
        <f t="array" aca="1" ref="C83" ca="1">INDEX($Q$2:$Q$16,RANDBETWEEN(1,15))</f>
        <v>Herramientas Industriales Medellín S.A.S.</v>
      </c>
      <c r="D83" s="86" t="str">
        <f ca="1">VLOOKUP(C83,$R$2:$S$16,2,FALSE)</f>
        <v>900.567.890-5</v>
      </c>
      <c r="E83" s="9" t="str" cm="1">
        <f t="array" aca="1" ref="E83" ca="1">INDEX($R$2:$R$31,RANDBETWEEN(1,30))</f>
        <v>Pinturas y Acabados Aburrá S.A.S.</v>
      </c>
      <c r="F83" s="11">
        <f ca="1">RANDBETWEEN(1,50)</f>
        <v>5</v>
      </c>
      <c r="G83" s="12">
        <f ca="1">MROUND(RANDBETWEEN(1500,850000),100)</f>
        <v>601000</v>
      </c>
      <c r="H83" s="12">
        <f ca="1">F83*G83</f>
        <v>3005000</v>
      </c>
      <c r="I83" s="12">
        <f ca="1">ROUND(H83*0.19,0)</f>
        <v>570950</v>
      </c>
      <c r="J83" s="12">
        <f ca="1">H83+I83</f>
        <v>3575950</v>
      </c>
      <c r="K83" s="13">
        <f ca="1">IF(RANDBETWEEN(0,1)=0,0.025,0.035)</f>
        <v>3.5000000000000003E-2</v>
      </c>
      <c r="L83" s="12">
        <f ca="1">ROUND(H83*K83,0)</f>
        <v>105175</v>
      </c>
      <c r="M83" s="14">
        <f>0.01104</f>
        <v>1.1039999999999999E-2</v>
      </c>
      <c r="N83" s="12">
        <f ca="1">ROUND(H83*M83,0)</f>
        <v>33175</v>
      </c>
      <c r="O83" s="12">
        <f ca="1">J83-L83-N83</f>
        <v>3437600</v>
      </c>
    </row>
    <row r="84" spans="1:15" x14ac:dyDescent="0.35">
      <c r="A84" s="9" t="str">
        <f>"FE-"&amp;TEXT(1000+ROW()-1,"0000")</f>
        <v>FE-1083</v>
      </c>
      <c r="B84" s="10">
        <f ca="1">DATE(2026,1,1)+RANDBETWEEN(0,119)</f>
        <v>46128</v>
      </c>
      <c r="C84" s="9" t="str" cm="1">
        <f t="array" aca="1" ref="C84" ca="1">INDEX($Q$2:$Q$16,RANDBETWEEN(1,15))</f>
        <v>Distribuidora El Martillo de Oro S.A.S.</v>
      </c>
      <c r="D84" s="86" t="str">
        <f ca="1">VLOOKUP(C84,$R$2:$S$16,2,FALSE)</f>
        <v>900.345.678-3</v>
      </c>
      <c r="E84" s="9" t="str" cm="1">
        <f t="array" aca="1" ref="E84" ca="1">INDEX($R$2:$R$31,RANDBETWEEN(1,30))</f>
        <v>Destornillador de pala 1/4"</v>
      </c>
      <c r="F84" s="11">
        <f ca="1">RANDBETWEEN(1,50)</f>
        <v>35</v>
      </c>
      <c r="G84" s="12">
        <f ca="1">MROUND(RANDBETWEEN(1500,850000),100)</f>
        <v>111100</v>
      </c>
      <c r="H84" s="12">
        <f ca="1">F84*G84</f>
        <v>3888500</v>
      </c>
      <c r="I84" s="12">
        <f ca="1">ROUND(H84*0.19,0)</f>
        <v>738815</v>
      </c>
      <c r="J84" s="12">
        <f ca="1">H84+I84</f>
        <v>4627315</v>
      </c>
      <c r="K84" s="13">
        <f ca="1">IF(RANDBETWEEN(0,1)=0,0.025,0.035)</f>
        <v>2.5000000000000001E-2</v>
      </c>
      <c r="L84" s="12">
        <f ca="1">ROUND(H84*K84,0)</f>
        <v>97213</v>
      </c>
      <c r="M84" s="14">
        <f>0.01104</f>
        <v>1.1039999999999999E-2</v>
      </c>
      <c r="N84" s="12">
        <f ca="1">ROUND(H84*M84,0)</f>
        <v>42929</v>
      </c>
      <c r="O84" s="12">
        <f ca="1">J84-L84-N84</f>
        <v>4487173</v>
      </c>
    </row>
    <row r="85" spans="1:15" x14ac:dyDescent="0.35">
      <c r="A85" s="9" t="str">
        <f>"FE-"&amp;TEXT(1000+ROW()-1,"0000")</f>
        <v>FE-1084</v>
      </c>
      <c r="B85" s="10">
        <f ca="1">DATE(2026,1,1)+RANDBETWEEN(0,119)</f>
        <v>46070</v>
      </c>
      <c r="C85" s="9" t="str" cm="1">
        <f t="array" aca="1" ref="C85" ca="1">INDEX($Q$2:$Q$16,RANDBETWEEN(1,15))</f>
        <v>Herramientas Industriales Medellín S.A.S.</v>
      </c>
      <c r="D85" s="86" t="str">
        <f ca="1">VLOOKUP(C85,$R$2:$S$16,2,FALSE)</f>
        <v>900.567.890-5</v>
      </c>
      <c r="E85" s="9" t="str" cm="1">
        <f t="array" aca="1" ref="E85" ca="1">INDEX($R$2:$R$31,RANDBETWEEN(1,30))</f>
        <v>Bloque de concreto 10x20x40</v>
      </c>
      <c r="F85" s="11">
        <f ca="1">RANDBETWEEN(1,50)</f>
        <v>48</v>
      </c>
      <c r="G85" s="12">
        <f ca="1">MROUND(RANDBETWEEN(1500,850000),100)</f>
        <v>339900</v>
      </c>
      <c r="H85" s="12">
        <f ca="1">F85*G85</f>
        <v>16315200</v>
      </c>
      <c r="I85" s="12">
        <f ca="1">ROUND(H85*0.19,0)</f>
        <v>3099888</v>
      </c>
      <c r="J85" s="12">
        <f ca="1">H85+I85</f>
        <v>19415088</v>
      </c>
      <c r="K85" s="13">
        <f ca="1">IF(RANDBETWEEN(0,1)=0,0.025,0.035)</f>
        <v>2.5000000000000001E-2</v>
      </c>
      <c r="L85" s="12">
        <f ca="1">ROUND(H85*K85,0)</f>
        <v>407880</v>
      </c>
      <c r="M85" s="14">
        <f>0.01104</f>
        <v>1.1039999999999999E-2</v>
      </c>
      <c r="N85" s="12">
        <f ca="1">ROUND(H85*M85,0)</f>
        <v>180120</v>
      </c>
      <c r="O85" s="12">
        <f ca="1">J85-L85-N85</f>
        <v>18827088</v>
      </c>
    </row>
    <row r="86" spans="1:15" x14ac:dyDescent="0.35">
      <c r="A86" s="9" t="str">
        <f>"FE-"&amp;TEXT(1000+ROW()-1,"0000")</f>
        <v>FE-1085</v>
      </c>
      <c r="B86" s="10">
        <f ca="1">DATE(2026,1,1)+RANDBETWEEN(0,119)</f>
        <v>46079</v>
      </c>
      <c r="C86" s="9" t="str" cm="1">
        <f t="array" aca="1" ref="C86" ca="1">INDEX($Q$2:$Q$16,RANDBETWEEN(1,15))</f>
        <v>Acabados y Construcción Poblado S.A.S.</v>
      </c>
      <c r="D86" s="86" t="str">
        <f ca="1">VLOOKUP(C86,$R$2:$S$16,2,FALSE)</f>
        <v>901.567.890-5</v>
      </c>
      <c r="E86" s="9" t="str" cm="1">
        <f t="array" aca="1" ref="E86" ca="1">INDEX($R$2:$R$31,RANDBETWEEN(1,30))</f>
        <v>Materiales La Estrella S.A.S.</v>
      </c>
      <c r="F86" s="11">
        <f ca="1">RANDBETWEEN(1,50)</f>
        <v>46</v>
      </c>
      <c r="G86" s="12">
        <f ca="1">MROUND(RANDBETWEEN(1500,850000),100)</f>
        <v>284900</v>
      </c>
      <c r="H86" s="12">
        <f ca="1">F86*G86</f>
        <v>13105400</v>
      </c>
      <c r="I86" s="12">
        <f ca="1">ROUND(H86*0.19,0)</f>
        <v>2490026</v>
      </c>
      <c r="J86" s="12">
        <f ca="1">H86+I86</f>
        <v>15595426</v>
      </c>
      <c r="K86" s="13">
        <f ca="1">IF(RANDBETWEEN(0,1)=0,0.025,0.035)</f>
        <v>2.5000000000000001E-2</v>
      </c>
      <c r="L86" s="12">
        <f ca="1">ROUND(H86*K86,0)</f>
        <v>327635</v>
      </c>
      <c r="M86" s="14">
        <f>0.01104</f>
        <v>1.1039999999999999E-2</v>
      </c>
      <c r="N86" s="12">
        <f ca="1">ROUND(H86*M86,0)</f>
        <v>144684</v>
      </c>
      <c r="O86" s="12">
        <f ca="1">J86-L86-N86</f>
        <v>15123107</v>
      </c>
    </row>
    <row r="87" spans="1:15" x14ac:dyDescent="0.35">
      <c r="A87" s="9" t="str">
        <f>"FE-"&amp;TEXT(1000+ROW()-1,"0000")</f>
        <v>FE-1086</v>
      </c>
      <c r="B87" s="10">
        <f ca="1">DATE(2026,1,1)+RANDBETWEEN(0,119)</f>
        <v>46063</v>
      </c>
      <c r="C87" s="9" t="str" cm="1">
        <f t="array" aca="1" ref="C87" ca="1">INDEX($Q$2:$Q$16,RANDBETWEEN(1,15))</f>
        <v>Tubos y Conexiones Envigado Ltda.</v>
      </c>
      <c r="D87" s="86" t="str">
        <f ca="1">VLOOKUP(C87,$R$2:$S$16,2,FALSE)</f>
        <v>901.012.345-0</v>
      </c>
      <c r="E87" s="9" t="str" cm="1">
        <f t="array" aca="1" ref="E87" ca="1">INDEX($R$2:$R$31,RANDBETWEEN(1,30))</f>
        <v>Teja eternit ondulada No. 6</v>
      </c>
      <c r="F87" s="11">
        <f ca="1">RANDBETWEEN(1,50)</f>
        <v>12</v>
      </c>
      <c r="G87" s="12">
        <f ca="1">MROUND(RANDBETWEEN(1500,850000),100)</f>
        <v>344800</v>
      </c>
      <c r="H87" s="12">
        <f ca="1">F87*G87</f>
        <v>4137600</v>
      </c>
      <c r="I87" s="12">
        <f ca="1">ROUND(H87*0.19,0)</f>
        <v>786144</v>
      </c>
      <c r="J87" s="12">
        <f ca="1">H87+I87</f>
        <v>4923744</v>
      </c>
      <c r="K87" s="13">
        <f ca="1">IF(RANDBETWEEN(0,1)=0,0.025,0.035)</f>
        <v>2.5000000000000001E-2</v>
      </c>
      <c r="L87" s="12">
        <f ca="1">ROUND(H87*K87,0)</f>
        <v>103440</v>
      </c>
      <c r="M87" s="14">
        <f>0.01104</f>
        <v>1.1039999999999999E-2</v>
      </c>
      <c r="N87" s="12">
        <f ca="1">ROUND(H87*M87,0)</f>
        <v>45679</v>
      </c>
      <c r="O87" s="12">
        <f ca="1">J87-L87-N87</f>
        <v>4774625</v>
      </c>
    </row>
    <row r="88" spans="1:15" x14ac:dyDescent="0.35">
      <c r="A88" s="9" t="str">
        <f>"FE-"&amp;TEXT(1000+ROW()-1,"0000")</f>
        <v>FE-1087</v>
      </c>
      <c r="B88" s="10">
        <f ca="1">DATE(2026,1,1)+RANDBETWEEN(0,119)</f>
        <v>46058</v>
      </c>
      <c r="C88" s="9" t="str" cm="1">
        <f t="array" aca="1" ref="C88" ca="1">INDEX($Q$2:$Q$16,RANDBETWEEN(1,15))</f>
        <v>Tubos y Conexiones Envigado Ltda.</v>
      </c>
      <c r="D88" s="86" t="str">
        <f ca="1">VLOOKUP(C88,$R$2:$S$16,2,FALSE)</f>
        <v>901.012.345-0</v>
      </c>
      <c r="E88" s="9" t="str" cm="1">
        <f t="array" aca="1" ref="E88" ca="1">INDEX($R$2:$R$31,RANDBETWEEN(1,30))</f>
        <v>Pinturas y Acabados Aburrá S.A.S.</v>
      </c>
      <c r="F88" s="11">
        <f ca="1">RANDBETWEEN(1,50)</f>
        <v>46</v>
      </c>
      <c r="G88" s="12">
        <f ca="1">MROUND(RANDBETWEEN(1500,850000),100)</f>
        <v>107600</v>
      </c>
      <c r="H88" s="12">
        <f ca="1">F88*G88</f>
        <v>4949600</v>
      </c>
      <c r="I88" s="12">
        <f ca="1">ROUND(H88*0.19,0)</f>
        <v>940424</v>
      </c>
      <c r="J88" s="12">
        <f ca="1">H88+I88</f>
        <v>5890024</v>
      </c>
      <c r="K88" s="13">
        <f ca="1">IF(RANDBETWEEN(0,1)=0,0.025,0.035)</f>
        <v>3.5000000000000003E-2</v>
      </c>
      <c r="L88" s="12">
        <f ca="1">ROUND(H88*K88,0)</f>
        <v>173236</v>
      </c>
      <c r="M88" s="14">
        <f>0.01104</f>
        <v>1.1039999999999999E-2</v>
      </c>
      <c r="N88" s="12">
        <f ca="1">ROUND(H88*M88,0)</f>
        <v>54644</v>
      </c>
      <c r="O88" s="12">
        <f ca="1">J88-L88-N88</f>
        <v>5662144</v>
      </c>
    </row>
    <row r="89" spans="1:15" x14ac:dyDescent="0.35">
      <c r="A89" s="9" t="str">
        <f>"FE-"&amp;TEXT(1000+ROW()-1,"0000")</f>
        <v>FE-1088</v>
      </c>
      <c r="B89" s="10">
        <f ca="1">DATE(2026,1,1)+RANDBETWEEN(0,119)</f>
        <v>46099</v>
      </c>
      <c r="C89" s="9" t="str" cm="1">
        <f t="array" aca="1" ref="C89" ca="1">INDEX($Q$2:$Q$16,RANDBETWEEN(1,15))</f>
        <v>Distribuciones Itagüí Ferretera Ltda.</v>
      </c>
      <c r="D89" s="86" t="str">
        <f ca="1">VLOOKUP(C89,$R$2:$S$16,2,FALSE)</f>
        <v>901.456.789-4</v>
      </c>
      <c r="E89" s="9" t="str" cm="1">
        <f t="array" aca="1" ref="E89" ca="1">INDEX($R$2:$R$31,RANDBETWEEN(1,30))</f>
        <v>Cementos y Materiales Paisa S.A.</v>
      </c>
      <c r="F89" s="11">
        <f ca="1">RANDBETWEEN(1,50)</f>
        <v>41</v>
      </c>
      <c r="G89" s="12">
        <f ca="1">MROUND(RANDBETWEEN(1500,850000),100)</f>
        <v>385200</v>
      </c>
      <c r="H89" s="12">
        <f ca="1">F89*G89</f>
        <v>15793200</v>
      </c>
      <c r="I89" s="12">
        <f ca="1">ROUND(H89*0.19,0)</f>
        <v>3000708</v>
      </c>
      <c r="J89" s="12">
        <f ca="1">H89+I89</f>
        <v>18793908</v>
      </c>
      <c r="K89" s="13">
        <f ca="1">IF(RANDBETWEEN(0,1)=0,0.025,0.035)</f>
        <v>3.5000000000000003E-2</v>
      </c>
      <c r="L89" s="12">
        <f ca="1">ROUND(H89*K89,0)</f>
        <v>552762</v>
      </c>
      <c r="M89" s="14">
        <f>0.01104</f>
        <v>1.1039999999999999E-2</v>
      </c>
      <c r="N89" s="12">
        <f ca="1">ROUND(H89*M89,0)</f>
        <v>174357</v>
      </c>
      <c r="O89" s="12">
        <f ca="1">J89-L89-N89</f>
        <v>18066789</v>
      </c>
    </row>
    <row r="90" spans="1:15" x14ac:dyDescent="0.35">
      <c r="A90" s="9" t="str">
        <f>"FE-"&amp;TEXT(1000+ROW()-1,"0000")</f>
        <v>FE-1089</v>
      </c>
      <c r="B90" s="10">
        <f ca="1">DATE(2026,1,1)+RANDBETWEEN(0,119)</f>
        <v>46049</v>
      </c>
      <c r="C90" s="9" t="str" cm="1">
        <f t="array" aca="1" ref="C90" ca="1">INDEX($Q$2:$Q$16,RANDBETWEEN(1,15))</f>
        <v>Distribuciones Itagüí Ferretera Ltda.</v>
      </c>
      <c r="D90" s="86" t="str">
        <f ca="1">VLOOKUP(C90,$R$2:$S$16,2,FALSE)</f>
        <v>901.456.789-4</v>
      </c>
      <c r="E90" s="9" t="str" cm="1">
        <f t="array" aca="1" ref="E90" ca="1">INDEX($R$2:$R$31,RANDBETWEEN(1,30))</f>
        <v>Cementos y Materiales Paisa S.A.</v>
      </c>
      <c r="F90" s="11">
        <f ca="1">RANDBETWEEN(1,50)</f>
        <v>3</v>
      </c>
      <c r="G90" s="12">
        <f ca="1">MROUND(RANDBETWEEN(1500,850000),100)</f>
        <v>177600</v>
      </c>
      <c r="H90" s="12">
        <f ca="1">F90*G90</f>
        <v>532800</v>
      </c>
      <c r="I90" s="12">
        <f ca="1">ROUND(H90*0.19,0)</f>
        <v>101232</v>
      </c>
      <c r="J90" s="12">
        <f ca="1">H90+I90</f>
        <v>634032</v>
      </c>
      <c r="K90" s="13">
        <f ca="1">IF(RANDBETWEEN(0,1)=0,0.025,0.035)</f>
        <v>3.5000000000000003E-2</v>
      </c>
      <c r="L90" s="12">
        <f ca="1">ROUND(H90*K90,0)</f>
        <v>18648</v>
      </c>
      <c r="M90" s="14">
        <f>0.01104</f>
        <v>1.1039999999999999E-2</v>
      </c>
      <c r="N90" s="12">
        <f ca="1">ROUND(H90*M90,0)</f>
        <v>5882</v>
      </c>
      <c r="O90" s="12">
        <f ca="1">J90-L90-N90</f>
        <v>609502</v>
      </c>
    </row>
    <row r="91" spans="1:15" x14ac:dyDescent="0.35">
      <c r="A91" s="9" t="str">
        <f>"FE-"&amp;TEXT(1000+ROW()-1,"0000")</f>
        <v>FE-1090</v>
      </c>
      <c r="B91" s="10">
        <f ca="1">DATE(2026,1,1)+RANDBETWEEN(0,119)</f>
        <v>46052</v>
      </c>
      <c r="C91" s="9" t="str" cm="1">
        <f t="array" aca="1" ref="C91" ca="1">INDEX($Q$2:$Q$16,RANDBETWEEN(1,15))</f>
        <v>Cementos y Materiales Paisa S.A.</v>
      </c>
      <c r="D91" s="86" t="str">
        <f ca="1">VLOOKUP(C91,$R$2:$S$16,2,FALSE)</f>
        <v>900.456.789-4</v>
      </c>
      <c r="E91" s="9" t="str" cm="1">
        <f t="array" aca="1" ref="E91" ca="1">INDEX($R$2:$R$31,RANDBETWEEN(1,30))</f>
        <v>Ferromax Colombia S.A.S.</v>
      </c>
      <c r="F91" s="11">
        <f ca="1">RANDBETWEEN(1,50)</f>
        <v>19</v>
      </c>
      <c r="G91" s="12">
        <f ca="1">MROUND(RANDBETWEEN(1500,850000),100)</f>
        <v>552200</v>
      </c>
      <c r="H91" s="12">
        <f ca="1">F91*G91</f>
        <v>10491800</v>
      </c>
      <c r="I91" s="12">
        <f ca="1">ROUND(H91*0.19,0)</f>
        <v>1993442</v>
      </c>
      <c r="J91" s="12">
        <f ca="1">H91+I91</f>
        <v>12485242</v>
      </c>
      <c r="K91" s="13">
        <f ca="1">IF(RANDBETWEEN(0,1)=0,0.025,0.035)</f>
        <v>3.5000000000000003E-2</v>
      </c>
      <c r="L91" s="12">
        <f ca="1">ROUND(H91*K91,0)</f>
        <v>367213</v>
      </c>
      <c r="M91" s="14">
        <f>0.01104</f>
        <v>1.1039999999999999E-2</v>
      </c>
      <c r="N91" s="12">
        <f ca="1">ROUND(H91*M91,0)</f>
        <v>115829</v>
      </c>
      <c r="O91" s="12">
        <f ca="1">J91-L91-N91</f>
        <v>12002200</v>
      </c>
    </row>
    <row r="92" spans="1:15" x14ac:dyDescent="0.35">
      <c r="A92" s="9" t="str">
        <f>"FE-"&amp;TEXT(1000+ROW()-1,"0000")</f>
        <v>FE-1091</v>
      </c>
      <c r="B92" s="10">
        <f ca="1">DATE(2026,1,1)+RANDBETWEEN(0,119)</f>
        <v>46047</v>
      </c>
      <c r="C92" s="9" t="str" cm="1">
        <f t="array" aca="1" ref="C92" ca="1">INDEX($Q$2:$Q$16,RANDBETWEEN(1,15))</f>
        <v>Hierros y Mallas Bello S.A.S.</v>
      </c>
      <c r="D92" s="86" t="str">
        <f ca="1">VLOOKUP(C92,$R$2:$S$16,2,FALSE)</f>
        <v>900.901.234-9</v>
      </c>
      <c r="E92" s="9" t="str" cm="1">
        <f t="array" aca="1" ref="E92" ca="1">INDEX($R$2:$R$31,RANDBETWEEN(1,30))</f>
        <v>Tubos y Conexiones Envigado Ltda.</v>
      </c>
      <c r="F92" s="11">
        <f ca="1">RANDBETWEEN(1,50)</f>
        <v>36</v>
      </c>
      <c r="G92" s="12">
        <f ca="1">MROUND(RANDBETWEEN(1500,850000),100)</f>
        <v>38300</v>
      </c>
      <c r="H92" s="12">
        <f ca="1">F92*G92</f>
        <v>1378800</v>
      </c>
      <c r="I92" s="12">
        <f ca="1">ROUND(H92*0.19,0)</f>
        <v>261972</v>
      </c>
      <c r="J92" s="12">
        <f ca="1">H92+I92</f>
        <v>1640772</v>
      </c>
      <c r="K92" s="13">
        <f ca="1">IF(RANDBETWEEN(0,1)=0,0.025,0.035)</f>
        <v>3.5000000000000003E-2</v>
      </c>
      <c r="L92" s="12">
        <f ca="1">ROUND(H92*K92,0)</f>
        <v>48258</v>
      </c>
      <c r="M92" s="14">
        <f>0.01104</f>
        <v>1.1039999999999999E-2</v>
      </c>
      <c r="N92" s="12">
        <f ca="1">ROUND(H92*M92,0)</f>
        <v>15222</v>
      </c>
      <c r="O92" s="12">
        <f ca="1">J92-L92-N92</f>
        <v>1577292</v>
      </c>
    </row>
    <row r="93" spans="1:15" x14ac:dyDescent="0.35">
      <c r="A93" s="9" t="str">
        <f>"FE-"&amp;TEXT(1000+ROW()-1,"0000")</f>
        <v>FE-1092</v>
      </c>
      <c r="B93" s="10">
        <f ca="1">DATE(2026,1,1)+RANDBETWEEN(0,119)</f>
        <v>46098</v>
      </c>
      <c r="C93" s="9" t="str" cm="1">
        <f t="array" aca="1" ref="C93" ca="1">INDEX($Q$2:$Q$16,RANDBETWEEN(1,15))</f>
        <v>Tubos y Conexiones Envigado Ltda.</v>
      </c>
      <c r="D93" s="86" t="str">
        <f ca="1">VLOOKUP(C93,$R$2:$S$16,2,FALSE)</f>
        <v>901.012.345-0</v>
      </c>
      <c r="E93" s="9" t="str" cm="1">
        <f t="array" aca="1" ref="E93" ca="1">INDEX($R$2:$R$31,RANDBETWEEN(1,30))</f>
        <v>Cemento blanco x 5 kg</v>
      </c>
      <c r="F93" s="11">
        <f ca="1">RANDBETWEEN(1,50)</f>
        <v>34</v>
      </c>
      <c r="G93" s="12">
        <f ca="1">MROUND(RANDBETWEEN(1500,850000),100)</f>
        <v>473600</v>
      </c>
      <c r="H93" s="12">
        <f ca="1">F93*G93</f>
        <v>16102400</v>
      </c>
      <c r="I93" s="12">
        <f ca="1">ROUND(H93*0.19,0)</f>
        <v>3059456</v>
      </c>
      <c r="J93" s="12">
        <f ca="1">H93+I93</f>
        <v>19161856</v>
      </c>
      <c r="K93" s="13">
        <f ca="1">IF(RANDBETWEEN(0,1)=0,0.025,0.035)</f>
        <v>2.5000000000000001E-2</v>
      </c>
      <c r="L93" s="12">
        <f ca="1">ROUND(H93*K93,0)</f>
        <v>402560</v>
      </c>
      <c r="M93" s="14">
        <f>0.01104</f>
        <v>1.1039999999999999E-2</v>
      </c>
      <c r="N93" s="12">
        <f ca="1">ROUND(H93*M93,0)</f>
        <v>177770</v>
      </c>
      <c r="O93" s="12">
        <f ca="1">J93-L93-N93</f>
        <v>18581526</v>
      </c>
    </row>
    <row r="94" spans="1:15" x14ac:dyDescent="0.35">
      <c r="A94" s="9" t="str">
        <f>"FE-"&amp;TEXT(1000+ROW()-1,"0000")</f>
        <v>FE-1093</v>
      </c>
      <c r="B94" s="10">
        <f ca="1">DATE(2026,1,1)+RANDBETWEEN(0,119)</f>
        <v>46074</v>
      </c>
      <c r="C94" s="9" t="str" cm="1">
        <f t="array" aca="1" ref="C94" ca="1">INDEX($Q$2:$Q$16,RANDBETWEEN(1,15))</f>
        <v>Cementos y Materiales Paisa S.A.</v>
      </c>
      <c r="D94" s="86" t="str">
        <f ca="1">VLOOKUP(C94,$R$2:$S$16,2,FALSE)</f>
        <v>900.456.789-4</v>
      </c>
      <c r="E94" s="9" t="str" cm="1">
        <f t="array" aca="1" ref="E94" ca="1">INDEX($R$2:$R$31,RANDBETWEEN(1,30))</f>
        <v>Ladrillo tolete macizo</v>
      </c>
      <c r="F94" s="11">
        <f ca="1">RANDBETWEEN(1,50)</f>
        <v>5</v>
      </c>
      <c r="G94" s="12">
        <f ca="1">MROUND(RANDBETWEEN(1500,850000),100)</f>
        <v>460100</v>
      </c>
      <c r="H94" s="12">
        <f ca="1">F94*G94</f>
        <v>2300500</v>
      </c>
      <c r="I94" s="12">
        <f ca="1">ROUND(H94*0.19,0)</f>
        <v>437095</v>
      </c>
      <c r="J94" s="12">
        <f ca="1">H94+I94</f>
        <v>2737595</v>
      </c>
      <c r="K94" s="13">
        <f ca="1">IF(RANDBETWEEN(0,1)=0,0.025,0.035)</f>
        <v>2.5000000000000001E-2</v>
      </c>
      <c r="L94" s="12">
        <f ca="1">ROUND(H94*K94,0)</f>
        <v>57513</v>
      </c>
      <c r="M94" s="14">
        <f>0.01104</f>
        <v>1.1039999999999999E-2</v>
      </c>
      <c r="N94" s="12">
        <f ca="1">ROUND(H94*M94,0)</f>
        <v>25398</v>
      </c>
      <c r="O94" s="12">
        <f ca="1">J94-L94-N94</f>
        <v>2654684</v>
      </c>
    </row>
    <row r="95" spans="1:15" x14ac:dyDescent="0.35">
      <c r="A95" s="9" t="str">
        <f>"FE-"&amp;TEXT(1000+ROW()-1,"0000")</f>
        <v>FE-1094</v>
      </c>
      <c r="B95" s="10">
        <f ca="1">DATE(2026,1,1)+RANDBETWEEN(0,119)</f>
        <v>46051</v>
      </c>
      <c r="C95" s="9" t="str" cm="1">
        <f t="array" aca="1" ref="C95" ca="1">INDEX($Q$2:$Q$16,RANDBETWEEN(1,15))</f>
        <v>Ferretería Antioqueña Ltda.</v>
      </c>
      <c r="D95" s="86" t="str">
        <f ca="1">VLOOKUP(C95,$R$2:$S$16,2,FALSE)</f>
        <v>900.234.567-2</v>
      </c>
      <c r="E95" s="9" t="str" cm="1">
        <f t="array" aca="1" ref="E95" ca="1">INDEX($R$2:$R$31,RANDBETWEEN(1,30))</f>
        <v>Lámina de drywall 1.22x2.44m</v>
      </c>
      <c r="F95" s="11">
        <f ca="1">RANDBETWEEN(1,50)</f>
        <v>11</v>
      </c>
      <c r="G95" s="12">
        <f ca="1">MROUND(RANDBETWEEN(1500,850000),100)</f>
        <v>346000</v>
      </c>
      <c r="H95" s="12">
        <f ca="1">F95*G95</f>
        <v>3806000</v>
      </c>
      <c r="I95" s="12">
        <f ca="1">ROUND(H95*0.19,0)</f>
        <v>723140</v>
      </c>
      <c r="J95" s="12">
        <f ca="1">H95+I95</f>
        <v>4529140</v>
      </c>
      <c r="K95" s="13">
        <f ca="1">IF(RANDBETWEEN(0,1)=0,0.025,0.035)</f>
        <v>3.5000000000000003E-2</v>
      </c>
      <c r="L95" s="12">
        <f ca="1">ROUND(H95*K95,0)</f>
        <v>133210</v>
      </c>
      <c r="M95" s="14">
        <f>0.01104</f>
        <v>1.1039999999999999E-2</v>
      </c>
      <c r="N95" s="12">
        <f ca="1">ROUND(H95*M95,0)</f>
        <v>42018</v>
      </c>
      <c r="O95" s="12">
        <f ca="1">J95-L95-N95</f>
        <v>4353912</v>
      </c>
    </row>
    <row r="96" spans="1:15" x14ac:dyDescent="0.35">
      <c r="A96" s="9" t="str">
        <f>"FE-"&amp;TEXT(1000+ROW()-1,"0000")</f>
        <v>FE-1095</v>
      </c>
      <c r="B96" s="10">
        <f ca="1">DATE(2026,1,1)+RANDBETWEEN(0,119)</f>
        <v>46138</v>
      </c>
      <c r="C96" s="9" t="str" cm="1">
        <f t="array" aca="1" ref="C96" ca="1">INDEX($Q$2:$Q$16,RANDBETWEEN(1,15))</f>
        <v>Materiales La Estrella S.A.S.</v>
      </c>
      <c r="D96" s="86" t="str">
        <f ca="1">VLOOKUP(C96,$R$2:$S$16,2,FALSE)</f>
        <v>901.345.678-3</v>
      </c>
      <c r="E96" s="9" t="str" cm="1">
        <f t="array" aca="1" ref="E96" ca="1">INDEX($R$2:$R$31,RANDBETWEEN(1,30))</f>
        <v>Pinturas y Acabados Aburrá S.A.S.</v>
      </c>
      <c r="F96" s="11">
        <f ca="1">RANDBETWEEN(1,50)</f>
        <v>24</v>
      </c>
      <c r="G96" s="12">
        <f ca="1">MROUND(RANDBETWEEN(1500,850000),100)</f>
        <v>723600</v>
      </c>
      <c r="H96" s="12">
        <f ca="1">F96*G96</f>
        <v>17366400</v>
      </c>
      <c r="I96" s="12">
        <f ca="1">ROUND(H96*0.19,0)</f>
        <v>3299616</v>
      </c>
      <c r="J96" s="12">
        <f ca="1">H96+I96</f>
        <v>20666016</v>
      </c>
      <c r="K96" s="13">
        <f ca="1">IF(RANDBETWEEN(0,1)=0,0.025,0.035)</f>
        <v>2.5000000000000001E-2</v>
      </c>
      <c r="L96" s="12">
        <f ca="1">ROUND(H96*K96,0)</f>
        <v>434160</v>
      </c>
      <c r="M96" s="14">
        <f>0.01104</f>
        <v>1.1039999999999999E-2</v>
      </c>
      <c r="N96" s="12">
        <f ca="1">ROUND(H96*M96,0)</f>
        <v>191725</v>
      </c>
      <c r="O96" s="12">
        <f ca="1">J96-L96-N96</f>
        <v>20040131</v>
      </c>
    </row>
    <row r="97" spans="1:15" x14ac:dyDescent="0.35">
      <c r="A97" s="9" t="str">
        <f>"FE-"&amp;TEXT(1000+ROW()-1,"0000")</f>
        <v>FE-1096</v>
      </c>
      <c r="B97" s="10">
        <f ca="1">DATE(2026,1,1)+RANDBETWEEN(0,119)</f>
        <v>46063</v>
      </c>
      <c r="C97" s="9" t="str" cm="1">
        <f t="array" aca="1" ref="C97" ca="1">INDEX($Q$2:$Q$16,RANDBETWEEN(1,15))</f>
        <v>Distribuidora El Martillo de Oro S.A.S.</v>
      </c>
      <c r="D97" s="86" t="str">
        <f ca="1">VLOOKUP(C97,$R$2:$S$16,2,FALSE)</f>
        <v>900.345.678-3</v>
      </c>
      <c r="E97" s="9" t="str" cm="1">
        <f t="array" aca="1" ref="E97" ca="1">INDEX($R$2:$R$31,RANDBETWEEN(1,30))</f>
        <v>Ferromax Colombia S.A.S.</v>
      </c>
      <c r="F97" s="11">
        <f ca="1">RANDBETWEEN(1,50)</f>
        <v>42</v>
      </c>
      <c r="G97" s="12">
        <f ca="1">MROUND(RANDBETWEEN(1500,850000),100)</f>
        <v>520000</v>
      </c>
      <c r="H97" s="12">
        <f ca="1">F97*G97</f>
        <v>21840000</v>
      </c>
      <c r="I97" s="12">
        <f ca="1">ROUND(H97*0.19,0)</f>
        <v>4149600</v>
      </c>
      <c r="J97" s="12">
        <f ca="1">H97+I97</f>
        <v>25989600</v>
      </c>
      <c r="K97" s="13">
        <f ca="1">IF(RANDBETWEEN(0,1)=0,0.025,0.035)</f>
        <v>3.5000000000000003E-2</v>
      </c>
      <c r="L97" s="12">
        <f ca="1">ROUND(H97*K97,0)</f>
        <v>764400</v>
      </c>
      <c r="M97" s="14">
        <f>0.01104</f>
        <v>1.1039999999999999E-2</v>
      </c>
      <c r="N97" s="12">
        <f ca="1">ROUND(H97*M97,0)</f>
        <v>241114</v>
      </c>
      <c r="O97" s="12">
        <f ca="1">J97-L97-N97</f>
        <v>24984086</v>
      </c>
    </row>
    <row r="98" spans="1:15" x14ac:dyDescent="0.35">
      <c r="A98" s="9" t="str">
        <f>"FE-"&amp;TEXT(1000+ROW()-1,"0000")</f>
        <v>FE-1097</v>
      </c>
      <c r="B98" s="10">
        <f ca="1">DATE(2026,1,1)+RANDBETWEEN(0,119)</f>
        <v>46097</v>
      </c>
      <c r="C98" s="9" t="str" cm="1">
        <f t="array" aca="1" ref="C98" ca="1">INDEX($Q$2:$Q$16,RANDBETWEEN(1,15))</f>
        <v>Ferromax Colombia S.A.S.</v>
      </c>
      <c r="D98" s="86" t="str">
        <f ca="1">VLOOKUP(C98,$R$2:$S$16,2,FALSE)</f>
        <v>901.234.567-2</v>
      </c>
      <c r="E98" s="9" t="str" cm="1">
        <f t="array" aca="1" ref="E98" ca="1">INDEX($R$2:$R$31,RANDBETWEEN(1,30))</f>
        <v>Herramientas Industriales Medellín S.A.S.</v>
      </c>
      <c r="F98" s="11">
        <f ca="1">RANDBETWEEN(1,50)</f>
        <v>18</v>
      </c>
      <c r="G98" s="12">
        <f ca="1">MROUND(RANDBETWEEN(1500,850000),100)</f>
        <v>286400</v>
      </c>
      <c r="H98" s="12">
        <f ca="1">F98*G98</f>
        <v>5155200</v>
      </c>
      <c r="I98" s="12">
        <f ca="1">ROUND(H98*0.19,0)</f>
        <v>979488</v>
      </c>
      <c r="J98" s="12">
        <f ca="1">H98+I98</f>
        <v>6134688</v>
      </c>
      <c r="K98" s="13">
        <f ca="1">IF(RANDBETWEEN(0,1)=0,0.025,0.035)</f>
        <v>2.5000000000000001E-2</v>
      </c>
      <c r="L98" s="12">
        <f ca="1">ROUND(H98*K98,0)</f>
        <v>128880</v>
      </c>
      <c r="M98" s="14">
        <f>0.01104</f>
        <v>1.1039999999999999E-2</v>
      </c>
      <c r="N98" s="12">
        <f ca="1">ROUND(H98*M98,0)</f>
        <v>56913</v>
      </c>
      <c r="O98" s="12">
        <f ca="1">J98-L98-N98</f>
        <v>5948895</v>
      </c>
    </row>
    <row r="99" spans="1:15" x14ac:dyDescent="0.35">
      <c r="A99" s="9" t="str">
        <f>"FE-"&amp;TEXT(1000+ROW()-1,"0000")</f>
        <v>FE-1098</v>
      </c>
      <c r="B99" s="10">
        <f ca="1">DATE(2026,1,1)+RANDBETWEEN(0,119)</f>
        <v>46111</v>
      </c>
      <c r="C99" s="9" t="str" cm="1">
        <f t="array" aca="1" ref="C99" ca="1">INDEX($Q$2:$Q$16,RANDBETWEEN(1,15))</f>
        <v>Tubos y Conexiones Envigado Ltda.</v>
      </c>
      <c r="D99" s="86" t="str">
        <f ca="1">VLOOKUP(C99,$R$2:$S$16,2,FALSE)</f>
        <v>901.012.345-0</v>
      </c>
      <c r="E99" s="9" t="str" cm="1">
        <f t="array" aca="1" ref="E99" ca="1">INDEX($R$2:$R$31,RANDBETWEEN(1,30))</f>
        <v>Bloque de concreto 10x20x40</v>
      </c>
      <c r="F99" s="11">
        <f ca="1">RANDBETWEEN(1,50)</f>
        <v>27</v>
      </c>
      <c r="G99" s="12">
        <f ca="1">MROUND(RANDBETWEEN(1500,850000),100)</f>
        <v>781400</v>
      </c>
      <c r="H99" s="12">
        <f ca="1">F99*G99</f>
        <v>21097800</v>
      </c>
      <c r="I99" s="12">
        <f ca="1">ROUND(H99*0.19,0)</f>
        <v>4008582</v>
      </c>
      <c r="J99" s="12">
        <f ca="1">H99+I99</f>
        <v>25106382</v>
      </c>
      <c r="K99" s="13">
        <f ca="1">IF(RANDBETWEEN(0,1)=0,0.025,0.035)</f>
        <v>3.5000000000000003E-2</v>
      </c>
      <c r="L99" s="12">
        <f ca="1">ROUND(H99*K99,0)</f>
        <v>738423</v>
      </c>
      <c r="M99" s="14">
        <f>0.01104</f>
        <v>1.1039999999999999E-2</v>
      </c>
      <c r="N99" s="12">
        <f ca="1">ROUND(H99*M99,0)</f>
        <v>232920</v>
      </c>
      <c r="O99" s="12">
        <f ca="1">J99-L99-N99</f>
        <v>24135039</v>
      </c>
    </row>
    <row r="100" spans="1:15" x14ac:dyDescent="0.35">
      <c r="A100" s="9" t="str">
        <f>"FE-"&amp;TEXT(1000+ROW()-1,"0000")</f>
        <v>FE-1099</v>
      </c>
      <c r="B100" s="10">
        <f ca="1">DATE(2026,1,1)+RANDBETWEEN(0,119)</f>
        <v>46048</v>
      </c>
      <c r="C100" s="9" t="str" cm="1">
        <f t="array" aca="1" ref="C100" ca="1">INDEX($Q$2:$Q$16,RANDBETWEEN(1,15))</f>
        <v>Hierros y Mallas Bello S.A.S.</v>
      </c>
      <c r="D100" s="86" t="str">
        <f ca="1">VLOOKUP(C100,$R$2:$S$16,2,FALSE)</f>
        <v>900.901.234-9</v>
      </c>
      <c r="E100" s="9" t="str" cm="1">
        <f t="array" aca="1" ref="E100" ca="1">INDEX($R$2:$R$31,RANDBETWEEN(1,30))</f>
        <v>Pala cuadrada con cabo</v>
      </c>
      <c r="F100" s="11">
        <f ca="1">RANDBETWEEN(1,50)</f>
        <v>1</v>
      </c>
      <c r="G100" s="12">
        <f ca="1">MROUND(RANDBETWEEN(1500,850000),100)</f>
        <v>785500</v>
      </c>
      <c r="H100" s="12">
        <f ca="1">F100*G100</f>
        <v>785500</v>
      </c>
      <c r="I100" s="12">
        <f ca="1">ROUND(H100*0.19,0)</f>
        <v>149245</v>
      </c>
      <c r="J100" s="12">
        <f ca="1">H100+I100</f>
        <v>934745</v>
      </c>
      <c r="K100" s="13">
        <f ca="1">IF(RANDBETWEEN(0,1)=0,0.025,0.035)</f>
        <v>2.5000000000000001E-2</v>
      </c>
      <c r="L100" s="12">
        <f ca="1">ROUND(H100*K100,0)</f>
        <v>19638</v>
      </c>
      <c r="M100" s="14">
        <f>0.01104</f>
        <v>1.1039999999999999E-2</v>
      </c>
      <c r="N100" s="12">
        <f ca="1">ROUND(H100*M100,0)</f>
        <v>8672</v>
      </c>
      <c r="O100" s="12">
        <f ca="1">J100-L100-N100</f>
        <v>906435</v>
      </c>
    </row>
    <row r="101" spans="1:15" x14ac:dyDescent="0.35">
      <c r="A101" s="9" t="str">
        <f>"FE-"&amp;TEXT(1000+ROW()-1,"0000")</f>
        <v>FE-1100</v>
      </c>
      <c r="B101" s="10">
        <f ca="1">DATE(2026,1,1)+RANDBETWEEN(0,119)</f>
        <v>46075</v>
      </c>
      <c r="C101" s="9" t="str" cm="1">
        <f t="array" aca="1" ref="C101" ca="1">INDEX($Q$2:$Q$16,RANDBETWEEN(1,15))</f>
        <v>Distribuciones Itagüí Ferretera Ltda.</v>
      </c>
      <c r="D101" s="86" t="str">
        <f ca="1">VLOOKUP(C101,$R$2:$S$16,2,FALSE)</f>
        <v>901.456.789-4</v>
      </c>
      <c r="E101" s="9" t="str" cm="1">
        <f t="array" aca="1" ref="E101" ca="1">INDEX($R$2:$R$31,RANDBETWEEN(1,30))</f>
        <v>Suministros Ferreteros La 80 Ltda.</v>
      </c>
      <c r="F101" s="11">
        <f ca="1">RANDBETWEEN(1,50)</f>
        <v>26</v>
      </c>
      <c r="G101" s="12">
        <f ca="1">MROUND(RANDBETWEEN(1500,850000),100)</f>
        <v>195400</v>
      </c>
      <c r="H101" s="12">
        <f ca="1">F101*G101</f>
        <v>5080400</v>
      </c>
      <c r="I101" s="12">
        <f ca="1">ROUND(H101*0.19,0)</f>
        <v>965276</v>
      </c>
      <c r="J101" s="12">
        <f ca="1">H101+I101</f>
        <v>6045676</v>
      </c>
      <c r="K101" s="13">
        <f ca="1">IF(RANDBETWEEN(0,1)=0,0.025,0.035)</f>
        <v>3.5000000000000003E-2</v>
      </c>
      <c r="L101" s="12">
        <f ca="1">ROUND(H101*K101,0)</f>
        <v>177814</v>
      </c>
      <c r="M101" s="14">
        <f>0.01104</f>
        <v>1.1039999999999999E-2</v>
      </c>
      <c r="N101" s="12">
        <f ca="1">ROUND(H101*M101,0)</f>
        <v>56088</v>
      </c>
      <c r="O101" s="12">
        <f ca="1">J101-L101-N101</f>
        <v>5811774</v>
      </c>
    </row>
  </sheetData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6826-C171-4292-ABDA-7EFEA167F662}">
  <dimension ref="A1:B16"/>
  <sheetViews>
    <sheetView workbookViewId="0">
      <selection sqref="A1:B16"/>
    </sheetView>
  </sheetViews>
  <sheetFormatPr baseColWidth="10" defaultRowHeight="14.5" x14ac:dyDescent="0.35"/>
  <cols>
    <col min="1" max="1" width="36.54296875" bestFit="1" customWidth="1"/>
    <col min="2" max="2" width="12.54296875" bestFit="1" customWidth="1"/>
  </cols>
  <sheetData>
    <row r="1" spans="1:2" x14ac:dyDescent="0.35">
      <c r="A1" s="7" t="s">
        <v>44</v>
      </c>
      <c r="B1" s="66" t="s">
        <v>160</v>
      </c>
    </row>
    <row r="2" spans="1:2" x14ac:dyDescent="0.35">
      <c r="A2" t="s">
        <v>14</v>
      </c>
      <c r="B2" t="s">
        <v>297</v>
      </c>
    </row>
    <row r="3" spans="1:2" x14ac:dyDescent="0.35">
      <c r="A3" t="s">
        <v>15</v>
      </c>
      <c r="B3" t="s">
        <v>298</v>
      </c>
    </row>
    <row r="4" spans="1:2" x14ac:dyDescent="0.35">
      <c r="A4" t="s">
        <v>16</v>
      </c>
      <c r="B4" t="s">
        <v>299</v>
      </c>
    </row>
    <row r="5" spans="1:2" x14ac:dyDescent="0.35">
      <c r="A5" t="s">
        <v>17</v>
      </c>
      <c r="B5" t="s">
        <v>300</v>
      </c>
    </row>
    <row r="6" spans="1:2" x14ac:dyDescent="0.35">
      <c r="A6" t="s">
        <v>18</v>
      </c>
      <c r="B6" t="s">
        <v>301</v>
      </c>
    </row>
    <row r="7" spans="1:2" x14ac:dyDescent="0.35">
      <c r="A7" t="s">
        <v>19</v>
      </c>
      <c r="B7" t="s">
        <v>302</v>
      </c>
    </row>
    <row r="8" spans="1:2" x14ac:dyDescent="0.35">
      <c r="A8" t="s">
        <v>20</v>
      </c>
      <c r="B8" t="s">
        <v>303</v>
      </c>
    </row>
    <row r="9" spans="1:2" x14ac:dyDescent="0.35">
      <c r="A9" t="s">
        <v>21</v>
      </c>
      <c r="B9" t="s">
        <v>304</v>
      </c>
    </row>
    <row r="10" spans="1:2" x14ac:dyDescent="0.35">
      <c r="A10" t="s">
        <v>22</v>
      </c>
      <c r="B10" t="s">
        <v>305</v>
      </c>
    </row>
    <row r="11" spans="1:2" x14ac:dyDescent="0.35">
      <c r="A11" t="s">
        <v>23</v>
      </c>
      <c r="B11" t="s">
        <v>306</v>
      </c>
    </row>
    <row r="12" spans="1:2" x14ac:dyDescent="0.35">
      <c r="A12" t="s">
        <v>24</v>
      </c>
      <c r="B12" t="s">
        <v>307</v>
      </c>
    </row>
    <row r="13" spans="1:2" x14ac:dyDescent="0.35">
      <c r="A13" t="s">
        <v>25</v>
      </c>
      <c r="B13" t="s">
        <v>308</v>
      </c>
    </row>
    <row r="14" spans="1:2" x14ac:dyDescent="0.35">
      <c r="A14" t="s">
        <v>26</v>
      </c>
      <c r="B14" t="s">
        <v>309</v>
      </c>
    </row>
    <row r="15" spans="1:2" x14ac:dyDescent="0.35">
      <c r="A15" t="s">
        <v>27</v>
      </c>
      <c r="B15" t="s">
        <v>310</v>
      </c>
    </row>
    <row r="16" spans="1:2" x14ac:dyDescent="0.35">
      <c r="A16" t="s">
        <v>28</v>
      </c>
      <c r="B16" t="s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8474-4E5A-4D07-898B-9C5D9270FF3D}">
  <dimension ref="A1:AD51"/>
  <sheetViews>
    <sheetView workbookViewId="0">
      <selection activeCell="A14" sqref="A14"/>
    </sheetView>
  </sheetViews>
  <sheetFormatPr baseColWidth="10" defaultRowHeight="14.5" x14ac:dyDescent="0.35"/>
  <cols>
    <col min="1" max="1" width="8.54296875" bestFit="1" customWidth="1"/>
    <col min="2" max="2" width="10.453125" bestFit="1" customWidth="1"/>
    <col min="3" max="3" width="32.453125" bestFit="1" customWidth="1"/>
    <col min="4" max="4" width="33.90625" bestFit="1" customWidth="1"/>
    <col min="5" max="5" width="11.453125" bestFit="1" customWidth="1"/>
    <col min="6" max="6" width="16.08984375" bestFit="1" customWidth="1"/>
    <col min="7" max="7" width="13.7265625" bestFit="1" customWidth="1"/>
    <col min="8" max="8" width="13.453125" bestFit="1" customWidth="1"/>
    <col min="9" max="9" width="9.6328125" bestFit="1" customWidth="1"/>
    <col min="10" max="10" width="9.90625" bestFit="1" customWidth="1"/>
    <col min="11" max="11" width="10.6328125" bestFit="1" customWidth="1"/>
    <col min="12" max="12" width="16.7265625" bestFit="1" customWidth="1"/>
    <col min="13" max="13" width="16.453125" bestFit="1" customWidth="1"/>
    <col min="14" max="14" width="13.6328125" bestFit="1" customWidth="1"/>
    <col min="15" max="15" width="13.36328125" bestFit="1" customWidth="1"/>
    <col min="16" max="16" width="13.453125" bestFit="1" customWidth="1"/>
    <col min="17" max="17" width="13.1796875" bestFit="1" customWidth="1"/>
    <col min="18" max="18" width="12.6328125" bestFit="1" customWidth="1"/>
    <col min="19" max="19" width="13.1796875" bestFit="1" customWidth="1"/>
    <col min="20" max="20" width="9.81640625" bestFit="1" customWidth="1"/>
    <col min="22" max="30" width="10.90625" customWidth="1"/>
  </cols>
  <sheetData>
    <row r="1" spans="1:30" x14ac:dyDescent="0.35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55</v>
      </c>
      <c r="L1" s="6" t="s">
        <v>56</v>
      </c>
      <c r="M1" s="6" t="s">
        <v>10</v>
      </c>
      <c r="N1" s="6" t="s">
        <v>57</v>
      </c>
      <c r="O1" s="6" t="s">
        <v>58</v>
      </c>
      <c r="P1" s="6" t="s">
        <v>59</v>
      </c>
      <c r="Q1" s="6" t="s">
        <v>12</v>
      </c>
      <c r="R1" s="6" t="s">
        <v>13</v>
      </c>
      <c r="S1" s="6" t="s">
        <v>60</v>
      </c>
      <c r="T1" s="6" t="s">
        <v>61</v>
      </c>
      <c r="V1" t="s">
        <v>106</v>
      </c>
      <c r="W1" t="s">
        <v>107</v>
      </c>
      <c r="X1" t="s">
        <v>108</v>
      </c>
      <c r="Y1" t="s">
        <v>159</v>
      </c>
      <c r="Z1" t="s">
        <v>160</v>
      </c>
      <c r="AB1" t="s">
        <v>166</v>
      </c>
      <c r="AC1" t="s">
        <v>167</v>
      </c>
      <c r="AD1" t="s">
        <v>171</v>
      </c>
    </row>
    <row r="2" spans="1:30" x14ac:dyDescent="0.35">
      <c r="A2" t="str">
        <f>"GA-"&amp;TEXT(2000+ROW()-2,"0000")</f>
        <v>GA-2000</v>
      </c>
      <c r="B2" s="1">
        <f ca="1">DATE(2026,1,1)+RANDBETWEEN(0,119)</f>
        <v>46123</v>
      </c>
      <c r="C2" t="str" cm="1">
        <f t="array" aca="1" ref="C2" ca="1">INDEX($V$2:$V$31,RANDBETWEEN(1,30))</f>
        <v>Mantenimiento equipos de cómputo</v>
      </c>
      <c r="D2" t="str" cm="1">
        <f t="array" aca="1" ref="D2" ca="1">INDEX($Y$2:$Y$26,RANDBETWEEN(1,25))</f>
        <v>Servientrega S.A.</v>
      </c>
      <c r="E2" t="str">
        <f ca="1">INDEX($Z$2:$Z$26,MATCH(D2,$Y$2:$Y$26,0))</f>
        <v>860512330-3</v>
      </c>
      <c r="F2" t="str">
        <f ca="1">INDEX($W$2:$W$31,MATCH(C2,$V$2:$V$31,0))</f>
        <v>Mantenimiento</v>
      </c>
      <c r="G2" t="str" cm="1">
        <f t="array" aca="1" ref="G2" ca="1">INDEX($AB$2:$AB$6,RANDBETWEEN(1,5))</f>
        <v>Ventas</v>
      </c>
      <c r="H2" s="2">
        <f ca="1">ROUND(RANDBETWEEN(150000,8500000),-2)</f>
        <v>1469100</v>
      </c>
      <c r="I2" s="3">
        <f ca="1">IF(OR(F2="Servicios Públicos",F2="Financieros",F2="Legales",F2="Seguros"),0,0.19)</f>
        <v>0.19</v>
      </c>
      <c r="J2" s="2">
        <f ca="1">ROUND(H2*I2,0)</f>
        <v>279129</v>
      </c>
      <c r="K2" s="2">
        <f ca="1">H2+J2</f>
        <v>1748229</v>
      </c>
      <c r="L2" s="15">
        <f ca="1">INDEX($X$2:$X$31,MATCH(C2,$V$2:$V$31,0))</f>
        <v>0.04</v>
      </c>
      <c r="M2" s="2">
        <f ca="1">ROUND(H2*L2,0)</f>
        <v>58764</v>
      </c>
      <c r="N2" s="3">
        <f ca="1">IF(I2=0,0,0.15)</f>
        <v>0.15</v>
      </c>
      <c r="O2" s="2">
        <f ca="1">ROUND(J2*N2,0)</f>
        <v>41869</v>
      </c>
      <c r="P2" s="4">
        <f>0.01104</f>
        <v>1.1039999999999999E-2</v>
      </c>
      <c r="Q2" s="2">
        <f ca="1">ROUND(H2*P2,0)</f>
        <v>16219</v>
      </c>
      <c r="R2" s="2">
        <f ca="1">K2-M2-O2-Q2</f>
        <v>1631377</v>
      </c>
      <c r="S2" t="str">
        <f ca="1">CHOOSE(RANDBETWEEN(1,3),"Transferencia","Efectivo","Tarjeta crédito")</f>
        <v>Tarjeta crédito</v>
      </c>
      <c r="T2" t="str">
        <f ca="1">IF(RANDBETWEEN(1,10)&lt;=8,"Pagado","Pendiente")</f>
        <v>Pagado</v>
      </c>
      <c r="V2" t="s">
        <v>62</v>
      </c>
      <c r="W2" t="s">
        <v>63</v>
      </c>
      <c r="X2">
        <v>3.5000000000000003E-2</v>
      </c>
      <c r="Y2" t="s">
        <v>109</v>
      </c>
      <c r="Z2" t="s">
        <v>110</v>
      </c>
      <c r="AB2" t="s">
        <v>161</v>
      </c>
      <c r="AC2" t="s">
        <v>168</v>
      </c>
      <c r="AD2" t="s">
        <v>172</v>
      </c>
    </row>
    <row r="3" spans="1:30" x14ac:dyDescent="0.35">
      <c r="A3" t="str">
        <f>"GA-"&amp;TEXT(2000+ROW()-2,"0000")</f>
        <v>GA-2001</v>
      </c>
      <c r="B3" s="1">
        <f ca="1">DATE(2026,1,1)+RANDBETWEEN(0,119)</f>
        <v>46098</v>
      </c>
      <c r="C3" t="str" cm="1">
        <f t="array" aca="1" ref="C3" ca="1">INDEX($V$2:$V$31,RANDBETWEEN(1,30))</f>
        <v>Suscripción cámara de comercio</v>
      </c>
      <c r="D3" t="str" cm="1">
        <f t="array" aca="1" ref="D3" ca="1">INDEX($Y$2:$Y$26,RANDBETWEEN(1,25))</f>
        <v>Facturación Electrónica Alegra S.A.S.</v>
      </c>
      <c r="E3" t="str">
        <f ca="1">INDEX($Z$2:$Z$26,MATCH(D3,$Y$2:$Y$26,0))</f>
        <v>900912345-0</v>
      </c>
      <c r="F3" t="str">
        <f ca="1">INDEX($W$2:$W$31,MATCH(C3,$V$2:$V$31,0))</f>
        <v>Legales</v>
      </c>
      <c r="G3" t="str" cm="1">
        <f t="array" aca="1" ref="G3" ca="1">INDEX($AB$2:$AB$6,RANDBETWEEN(1,5))</f>
        <v>Ventas</v>
      </c>
      <c r="H3" s="2">
        <f ca="1">ROUND(RANDBETWEEN(150000,8500000),-2)</f>
        <v>8238200</v>
      </c>
      <c r="I3" s="3">
        <f ca="1">IF(OR(F3="Servicios Públicos",F3="Financieros",F3="Legales",F3="Seguros"),0,0.19)</f>
        <v>0</v>
      </c>
      <c r="J3" s="2">
        <f ca="1">ROUND(H3*I3,0)</f>
        <v>0</v>
      </c>
      <c r="K3" s="2">
        <f ca="1">H3+J3</f>
        <v>8238200</v>
      </c>
      <c r="L3" s="15">
        <f ca="1">INDEX($X$2:$X$31,MATCH(C3,$V$2:$V$31,0))</f>
        <v>0</v>
      </c>
      <c r="M3" s="2">
        <f ca="1">ROUND(H3*L3,0)</f>
        <v>0</v>
      </c>
      <c r="N3" s="3">
        <f ca="1">IF(I3=0,0,0.15)</f>
        <v>0</v>
      </c>
      <c r="O3" s="2">
        <f ca="1">ROUND(J3*N3,0)</f>
        <v>0</v>
      </c>
      <c r="P3" s="4">
        <f>0.01104</f>
        <v>1.1039999999999999E-2</v>
      </c>
      <c r="Q3" s="2">
        <f ca="1">ROUND(H3*P3,0)</f>
        <v>90950</v>
      </c>
      <c r="R3" s="2">
        <f ca="1">K3-M3-O3-Q3</f>
        <v>8147250</v>
      </c>
      <c r="S3" t="str">
        <f ca="1">CHOOSE(RANDBETWEEN(1,3),"Transferencia","Efectivo","Tarjeta crédito")</f>
        <v>Efectivo</v>
      </c>
      <c r="T3" t="str">
        <f ca="1">IF(RANDBETWEEN(1,10)&lt;=8,"Pagado","Pendiente")</f>
        <v>Pagado</v>
      </c>
      <c r="V3" t="s">
        <v>64</v>
      </c>
      <c r="W3" t="s">
        <v>65</v>
      </c>
      <c r="X3">
        <v>0</v>
      </c>
      <c r="Y3" t="s">
        <v>111</v>
      </c>
      <c r="Z3" t="s">
        <v>112</v>
      </c>
      <c r="AB3" t="s">
        <v>162</v>
      </c>
      <c r="AC3" t="s">
        <v>169</v>
      </c>
      <c r="AD3" t="s">
        <v>173</v>
      </c>
    </row>
    <row r="4" spans="1:30" x14ac:dyDescent="0.35">
      <c r="A4" t="str">
        <f>"GA-"&amp;TEXT(2000+ROW()-2,"0000")</f>
        <v>GA-2002</v>
      </c>
      <c r="B4" s="1">
        <f ca="1">DATE(2026,1,1)+RANDBETWEEN(0,119)</f>
        <v>46058</v>
      </c>
      <c r="C4" t="str" cm="1">
        <f t="array" aca="1" ref="C4" ca="1">INDEX($V$2:$V$31,RANDBETWEEN(1,30))</f>
        <v>Publicidad redes sociales</v>
      </c>
      <c r="D4" t="str" cm="1">
        <f t="array" aca="1" ref="D4" ca="1">INDEX($Y$2:$Y$26,RANDBETWEEN(1,25))</f>
        <v>Distribuidora Café Aburrá Ltda.</v>
      </c>
      <c r="E4" t="str">
        <f ca="1">INDEX($Z$2:$Z$26,MATCH(D4,$Y$2:$Y$26,0))</f>
        <v>901890123-7</v>
      </c>
      <c r="F4" t="str">
        <f ca="1">INDEX($W$2:$W$31,MATCH(C4,$V$2:$V$31,0))</f>
        <v>Publicidad</v>
      </c>
      <c r="G4" t="str" cm="1">
        <f t="array" aca="1" ref="G4" ca="1">INDEX($AB$2:$AB$6,RANDBETWEEN(1,5))</f>
        <v>Gerencia</v>
      </c>
      <c r="H4" s="2">
        <f ca="1">ROUND(RANDBETWEEN(150000,8500000),-2)</f>
        <v>773700</v>
      </c>
      <c r="I4" s="3">
        <f ca="1">IF(OR(F4="Servicios Públicos",F4="Financieros",F4="Legales",F4="Seguros"),0,0.19)</f>
        <v>0.19</v>
      </c>
      <c r="J4" s="2">
        <f ca="1">ROUND(H4*I4,0)</f>
        <v>147003</v>
      </c>
      <c r="K4" s="2">
        <f ca="1">H4+J4</f>
        <v>920703</v>
      </c>
      <c r="L4" s="15">
        <f ca="1">INDEX($X$2:$X$31,MATCH(C4,$V$2:$V$31,0))</f>
        <v>0.04</v>
      </c>
      <c r="M4" s="2">
        <f ca="1">ROUND(H4*L4,0)</f>
        <v>30948</v>
      </c>
      <c r="N4" s="3">
        <f ca="1">IF(I4=0,0,0.15)</f>
        <v>0.15</v>
      </c>
      <c r="O4" s="2">
        <f ca="1">ROUND(J4*N4,0)</f>
        <v>22050</v>
      </c>
      <c r="P4" s="4">
        <f>0.01104</f>
        <v>1.1039999999999999E-2</v>
      </c>
      <c r="Q4" s="2">
        <f ca="1">ROUND(H4*P4,0)</f>
        <v>8542</v>
      </c>
      <c r="R4" s="2">
        <f ca="1">K4-M4-O4-Q4</f>
        <v>859163</v>
      </c>
      <c r="S4" t="str">
        <f ca="1">CHOOSE(RANDBETWEEN(1,3),"Transferencia","Efectivo","Tarjeta crédito")</f>
        <v>Efectivo</v>
      </c>
      <c r="T4" t="str">
        <f ca="1">IF(RANDBETWEEN(1,10)&lt;=8,"Pagado","Pendiente")</f>
        <v>Pagado</v>
      </c>
      <c r="V4" t="s">
        <v>66</v>
      </c>
      <c r="W4" t="s">
        <v>65</v>
      </c>
      <c r="X4">
        <v>0</v>
      </c>
      <c r="Y4" t="s">
        <v>113</v>
      </c>
      <c r="Z4" t="s">
        <v>114</v>
      </c>
      <c r="AB4" t="s">
        <v>163</v>
      </c>
      <c r="AC4" t="s">
        <v>170</v>
      </c>
    </row>
    <row r="5" spans="1:30" x14ac:dyDescent="0.35">
      <c r="A5" t="str">
        <f>"GA-"&amp;TEXT(2000+ROW()-2,"0000")</f>
        <v>GA-2003</v>
      </c>
      <c r="B5" s="1">
        <f ca="1">DATE(2026,1,1)+RANDBETWEEN(0,119)</f>
        <v>46098</v>
      </c>
      <c r="C5" t="str" cm="1">
        <f t="array" aca="1" ref="C5" ca="1">INDEX($V$2:$V$31,RANDBETWEEN(1,30))</f>
        <v>Peajes y parqueaderos</v>
      </c>
      <c r="D5" t="str" cm="1">
        <f t="array" aca="1" ref="D5" ca="1">INDEX($Y$2:$Y$26,RANDBETWEEN(1,25))</f>
        <v>EPM - Empresas Públicas de Medellín</v>
      </c>
      <c r="E5" t="str">
        <f ca="1">INDEX($Z$2:$Z$26,MATCH(D5,$Y$2:$Y$26,0))</f>
        <v>890904996-1</v>
      </c>
      <c r="F5" t="str">
        <f ca="1">INDEX($W$2:$W$31,MATCH(C5,$V$2:$V$31,0))</f>
        <v>Transporte</v>
      </c>
      <c r="G5" t="str" cm="1">
        <f t="array" aca="1" ref="G5" ca="1">INDEX($AB$2:$AB$6,RANDBETWEEN(1,5))</f>
        <v>Gerencia</v>
      </c>
      <c r="H5" s="2">
        <f ca="1">ROUND(RANDBETWEEN(150000,8500000),-2)</f>
        <v>4880000</v>
      </c>
      <c r="I5" s="3">
        <f ca="1">IF(OR(F5="Servicios Públicos",F5="Financieros",F5="Legales",F5="Seguros"),0,0.19)</f>
        <v>0.19</v>
      </c>
      <c r="J5" s="2">
        <f ca="1">ROUND(H5*I5,0)</f>
        <v>927200</v>
      </c>
      <c r="K5" s="2">
        <f ca="1">H5+J5</f>
        <v>5807200</v>
      </c>
      <c r="L5" s="15">
        <f ca="1">INDEX($X$2:$X$31,MATCH(C5,$V$2:$V$31,0))</f>
        <v>0</v>
      </c>
      <c r="M5" s="2">
        <f ca="1">ROUND(H5*L5,0)</f>
        <v>0</v>
      </c>
      <c r="N5" s="3">
        <f ca="1">IF(I5=0,0,0.15)</f>
        <v>0.15</v>
      </c>
      <c r="O5" s="2">
        <f ca="1">ROUND(J5*N5,0)</f>
        <v>139080</v>
      </c>
      <c r="P5" s="4">
        <f>0.01104</f>
        <v>1.1039999999999999E-2</v>
      </c>
      <c r="Q5" s="2">
        <f ca="1">ROUND(H5*P5,0)</f>
        <v>53875</v>
      </c>
      <c r="R5" s="2">
        <f ca="1">K5-M5-O5-Q5</f>
        <v>5614245</v>
      </c>
      <c r="S5" t="str">
        <f ca="1">CHOOSE(RANDBETWEEN(1,3),"Transferencia","Efectivo","Tarjeta crédito")</f>
        <v>Tarjeta crédito</v>
      </c>
      <c r="T5" t="str">
        <f ca="1">IF(RANDBETWEEN(1,10)&lt;=8,"Pagado","Pendiente")</f>
        <v>Pagado</v>
      </c>
      <c r="V5" t="s">
        <v>67</v>
      </c>
      <c r="W5" t="s">
        <v>65</v>
      </c>
      <c r="X5">
        <v>0</v>
      </c>
      <c r="Y5" t="s">
        <v>115</v>
      </c>
      <c r="Z5" t="s">
        <v>116</v>
      </c>
      <c r="AB5" t="s">
        <v>164</v>
      </c>
    </row>
    <row r="6" spans="1:30" x14ac:dyDescent="0.35">
      <c r="A6" t="str">
        <f>"GA-"&amp;TEXT(2000+ROW()-2,"0000")</f>
        <v>GA-2004</v>
      </c>
      <c r="B6" s="1">
        <f ca="1">DATE(2026,1,1)+RANDBETWEEN(0,119)</f>
        <v>46114</v>
      </c>
      <c r="C6" t="str" cm="1">
        <f t="array" aca="1" ref="C6" ca="1">INDEX($V$2:$V$31,RANDBETWEEN(1,30))</f>
        <v>Plataforma facturación electrónica</v>
      </c>
      <c r="D6" t="str" cm="1">
        <f t="array" aca="1" ref="D6" ca="1">INDEX($Y$2:$Y$26,RANDBETWEEN(1,25))</f>
        <v>TecnoSoporte Paisa S.A.S.</v>
      </c>
      <c r="E6" t="str">
        <f ca="1">INDEX($Z$2:$Z$26,MATCH(D6,$Y$2:$Y$26,0))</f>
        <v>901456789-6</v>
      </c>
      <c r="F6" t="str">
        <f ca="1">INDEX($W$2:$W$31,MATCH(C6,$V$2:$V$31,0))</f>
        <v>Tecnología</v>
      </c>
      <c r="G6" t="str" cm="1">
        <f t="array" aca="1" ref="G6" ca="1">INDEX($AB$2:$AB$6,RANDBETWEEN(1,5))</f>
        <v>Gerencia</v>
      </c>
      <c r="H6" s="2">
        <f ca="1">ROUND(RANDBETWEEN(150000,8500000),-2)</f>
        <v>7766000</v>
      </c>
      <c r="I6" s="3">
        <f ca="1">IF(OR(F6="Servicios Públicos",F6="Financieros",F6="Legales",F6="Seguros"),0,0.19)</f>
        <v>0.19</v>
      </c>
      <c r="J6" s="2">
        <f ca="1">ROUND(H6*I6,0)</f>
        <v>1475540</v>
      </c>
      <c r="K6" s="2">
        <f ca="1">H6+J6</f>
        <v>9241540</v>
      </c>
      <c r="L6" s="15">
        <f ca="1">INDEX($X$2:$X$31,MATCH(C6,$V$2:$V$31,0))</f>
        <v>3.5000000000000003E-2</v>
      </c>
      <c r="M6" s="2">
        <f ca="1">ROUND(H6*L6,0)</f>
        <v>271810</v>
      </c>
      <c r="N6" s="3">
        <f ca="1">IF(I6=0,0,0.15)</f>
        <v>0.15</v>
      </c>
      <c r="O6" s="2">
        <f ca="1">ROUND(J6*N6,0)</f>
        <v>221331</v>
      </c>
      <c r="P6" s="4">
        <f>0.01104</f>
        <v>1.1039999999999999E-2</v>
      </c>
      <c r="Q6" s="2">
        <f ca="1">ROUND(H6*P6,0)</f>
        <v>85737</v>
      </c>
      <c r="R6" s="2">
        <f ca="1">K6-M6-O6-Q6</f>
        <v>8662662</v>
      </c>
      <c r="S6" t="str">
        <f ca="1">CHOOSE(RANDBETWEEN(1,3),"Transferencia","Efectivo","Tarjeta crédito")</f>
        <v>Tarjeta crédito</v>
      </c>
      <c r="T6" t="str">
        <f ca="1">IF(RANDBETWEEN(1,10)&lt;=8,"Pagado","Pendiente")</f>
        <v>Pagado</v>
      </c>
      <c r="V6" t="s">
        <v>68</v>
      </c>
      <c r="W6" t="s">
        <v>65</v>
      </c>
      <c r="X6">
        <v>0.04</v>
      </c>
      <c r="Y6" t="s">
        <v>117</v>
      </c>
      <c r="Z6" t="s">
        <v>118</v>
      </c>
      <c r="AB6" t="s">
        <v>165</v>
      </c>
    </row>
    <row r="7" spans="1:30" x14ac:dyDescent="0.35">
      <c r="A7" t="str">
        <f>"GA-"&amp;TEXT(2000+ROW()-2,"0000")</f>
        <v>GA-2005</v>
      </c>
      <c r="B7" s="1">
        <f ca="1">DATE(2026,1,1)+RANDBETWEEN(0,119)</f>
        <v>46138</v>
      </c>
      <c r="C7" t="str" cm="1">
        <f t="array" aca="1" ref="C7" ca="1">INDEX($V$2:$V$31,RANDBETWEEN(1,30))</f>
        <v>Pólizas de seguros comerciales</v>
      </c>
      <c r="D7" t="str" cm="1">
        <f t="array" aca="1" ref="D7" ca="1">INDEX($Y$2:$Y$26,RANDBETWEEN(1,25))</f>
        <v>Fumigaciones Sanitarias Envigado</v>
      </c>
      <c r="E7" t="str">
        <f ca="1">INDEX($Z$2:$Z$26,MATCH(D7,$Y$2:$Y$26,0))</f>
        <v>901901234-8</v>
      </c>
      <c r="F7" t="str">
        <f ca="1">INDEX($W$2:$W$31,MATCH(C7,$V$2:$V$31,0))</f>
        <v>Seguros</v>
      </c>
      <c r="G7" t="str" cm="1">
        <f t="array" aca="1" ref="G7" ca="1">INDEX($AB$2:$AB$6,RANDBETWEEN(1,5))</f>
        <v>Gerencia</v>
      </c>
      <c r="H7" s="2">
        <f ca="1">ROUND(RANDBETWEEN(150000,8500000),-2)</f>
        <v>4996300</v>
      </c>
      <c r="I7" s="3">
        <f ca="1">IF(OR(F7="Servicios Públicos",F7="Financieros",F7="Legales",F7="Seguros"),0,0.19)</f>
        <v>0</v>
      </c>
      <c r="J7" s="2">
        <f ca="1">ROUND(H7*I7,0)</f>
        <v>0</v>
      </c>
      <c r="K7" s="2">
        <f ca="1">H7+J7</f>
        <v>4996300</v>
      </c>
      <c r="L7" s="15">
        <f ca="1">INDEX($X$2:$X$31,MATCH(C7,$V$2:$V$31,0))</f>
        <v>2.4E-2</v>
      </c>
      <c r="M7" s="2">
        <f ca="1">ROUND(H7*L7,0)</f>
        <v>119911</v>
      </c>
      <c r="N7" s="3">
        <f ca="1">IF(I7=0,0,0.15)</f>
        <v>0</v>
      </c>
      <c r="O7" s="2">
        <f ca="1">ROUND(J7*N7,0)</f>
        <v>0</v>
      </c>
      <c r="P7" s="4">
        <f>0.01104</f>
        <v>1.1039999999999999E-2</v>
      </c>
      <c r="Q7" s="2">
        <f ca="1">ROUND(H7*P7,0)</f>
        <v>55159</v>
      </c>
      <c r="R7" s="2">
        <f ca="1">K7-M7-O7-Q7</f>
        <v>4821230</v>
      </c>
      <c r="S7" t="str">
        <f ca="1">CHOOSE(RANDBETWEEN(1,3),"Transferencia","Efectivo","Tarjeta crédito")</f>
        <v>Tarjeta crédito</v>
      </c>
      <c r="T7" t="str">
        <f ca="1">IF(RANDBETWEEN(1,10)&lt;=8,"Pagado","Pendiente")</f>
        <v>Pagado</v>
      </c>
      <c r="V7" t="s">
        <v>69</v>
      </c>
      <c r="W7" t="s">
        <v>70</v>
      </c>
      <c r="X7">
        <v>0.11</v>
      </c>
      <c r="Y7" t="s">
        <v>119</v>
      </c>
      <c r="Z7" t="s">
        <v>120</v>
      </c>
    </row>
    <row r="8" spans="1:30" x14ac:dyDescent="0.35">
      <c r="A8" t="str">
        <f>"GA-"&amp;TEXT(2000+ROW()-2,"0000")</f>
        <v>GA-2006</v>
      </c>
      <c r="B8" s="1">
        <f ca="1">DATE(2026,1,1)+RANDBETWEEN(0,119)</f>
        <v>46125</v>
      </c>
      <c r="C8" t="str" cm="1">
        <f t="array" aca="1" ref="C8" ca="1">INDEX($V$2:$V$31,RANDBETWEEN(1,30))</f>
        <v>Software contable - licencia mensual</v>
      </c>
      <c r="D8" t="str" cm="1">
        <f t="array" aca="1" ref="D8" ca="1">INDEX($Y$2:$Y$26,RANDBETWEEN(1,25))</f>
        <v>Inmobiliaria El Poblado S.A.S.</v>
      </c>
      <c r="E8" t="str">
        <f ca="1">INDEX($Z$2:$Z$26,MATCH(D8,$Y$2:$Y$26,0))</f>
        <v>900456789-1</v>
      </c>
      <c r="F8" t="str">
        <f ca="1">INDEX($W$2:$W$31,MATCH(C8,$V$2:$V$31,0))</f>
        <v>Tecnología</v>
      </c>
      <c r="G8" t="str" cm="1">
        <f t="array" aca="1" ref="G8" ca="1">INDEX($AB$2:$AB$6,RANDBETWEEN(1,5))</f>
        <v>Gerencia</v>
      </c>
      <c r="H8" s="2">
        <f ca="1">ROUND(RANDBETWEEN(150000,8500000),-2)</f>
        <v>806500</v>
      </c>
      <c r="I8" s="3">
        <f ca="1">IF(OR(F8="Servicios Públicos",F8="Financieros",F8="Legales",F8="Seguros"),0,0.19)</f>
        <v>0.19</v>
      </c>
      <c r="J8" s="2">
        <f ca="1">ROUND(H8*I8,0)</f>
        <v>153235</v>
      </c>
      <c r="K8" s="2">
        <f ca="1">H8+J8</f>
        <v>959735</v>
      </c>
      <c r="L8" s="15">
        <f ca="1">INDEX($X$2:$X$31,MATCH(C8,$V$2:$V$31,0))</f>
        <v>3.5000000000000003E-2</v>
      </c>
      <c r="M8" s="2">
        <f ca="1">ROUND(H8*L8,0)</f>
        <v>28228</v>
      </c>
      <c r="N8" s="3">
        <f ca="1">IF(I8=0,0,0.15)</f>
        <v>0.15</v>
      </c>
      <c r="O8" s="2">
        <f ca="1">ROUND(J8*N8,0)</f>
        <v>22985</v>
      </c>
      <c r="P8" s="4">
        <f>0.01104</f>
        <v>1.1039999999999999E-2</v>
      </c>
      <c r="Q8" s="2">
        <f ca="1">ROUND(H8*P8,0)</f>
        <v>8904</v>
      </c>
      <c r="R8" s="2">
        <f ca="1">K8-M8-O8-Q8</f>
        <v>899618</v>
      </c>
      <c r="S8" t="str">
        <f ca="1">CHOOSE(RANDBETWEEN(1,3),"Transferencia","Efectivo","Tarjeta crédito")</f>
        <v>Efectivo</v>
      </c>
      <c r="T8" t="str">
        <f ca="1">IF(RANDBETWEEN(1,10)&lt;=8,"Pagado","Pendiente")</f>
        <v>Pagado</v>
      </c>
      <c r="V8" t="s">
        <v>71</v>
      </c>
      <c r="W8" t="s">
        <v>70</v>
      </c>
      <c r="X8">
        <v>0.11</v>
      </c>
      <c r="Y8" t="s">
        <v>121</v>
      </c>
      <c r="Z8" t="s">
        <v>122</v>
      </c>
    </row>
    <row r="9" spans="1:30" x14ac:dyDescent="0.35">
      <c r="A9" t="str">
        <f>"GA-"&amp;TEXT(2000+ROW()-2,"0000")</f>
        <v>GA-2007</v>
      </c>
      <c r="B9" s="1">
        <f ca="1">DATE(2026,1,1)+RANDBETWEEN(0,119)</f>
        <v>46130</v>
      </c>
      <c r="C9" t="str" cm="1">
        <f t="array" aca="1" ref="C9" ca="1">INDEX($V$2:$V$31,RANDBETWEEN(1,30))</f>
        <v>Honorarios revisoría fiscal</v>
      </c>
      <c r="D9" t="str" cm="1">
        <f t="array" aca="1" ref="D9" ca="1">INDEX($Y$2:$Y$26,RANDBETWEEN(1,25))</f>
        <v>Software Contable Siigo S.A.</v>
      </c>
      <c r="E9" t="str">
        <f ca="1">INDEX($Z$2:$Z$26,MATCH(D9,$Y$2:$Y$26,0))</f>
        <v>830067335-9</v>
      </c>
      <c r="F9" t="str">
        <f ca="1">INDEX($W$2:$W$31,MATCH(C9,$V$2:$V$31,0))</f>
        <v>Honorarios</v>
      </c>
      <c r="G9" t="str" cm="1">
        <f t="array" aca="1" ref="G9" ca="1">INDEX($AB$2:$AB$6,RANDBETWEEN(1,5))</f>
        <v>Logística</v>
      </c>
      <c r="H9" s="2">
        <f ca="1">ROUND(RANDBETWEEN(150000,8500000),-2)</f>
        <v>6869200</v>
      </c>
      <c r="I9" s="3">
        <f ca="1">IF(OR(F9="Servicios Públicos",F9="Financieros",F9="Legales",F9="Seguros"),0,0.19)</f>
        <v>0.19</v>
      </c>
      <c r="J9" s="2">
        <f ca="1">ROUND(H9*I9,0)</f>
        <v>1305148</v>
      </c>
      <c r="K9" s="2">
        <f ca="1">H9+J9</f>
        <v>8174348</v>
      </c>
      <c r="L9" s="15">
        <f ca="1">INDEX($X$2:$X$31,MATCH(C9,$V$2:$V$31,0))</f>
        <v>0.11</v>
      </c>
      <c r="M9" s="2">
        <f ca="1">ROUND(H9*L9,0)</f>
        <v>755612</v>
      </c>
      <c r="N9" s="3">
        <f ca="1">IF(I9=0,0,0.15)</f>
        <v>0.15</v>
      </c>
      <c r="O9" s="2">
        <f ca="1">ROUND(J9*N9,0)</f>
        <v>195772</v>
      </c>
      <c r="P9" s="4">
        <f>0.01104</f>
        <v>1.1039999999999999E-2</v>
      </c>
      <c r="Q9" s="2">
        <f ca="1">ROUND(H9*P9,0)</f>
        <v>75836</v>
      </c>
      <c r="R9" s="2">
        <f ca="1">K9-M9-O9-Q9</f>
        <v>7147128</v>
      </c>
      <c r="S9" t="str">
        <f ca="1">CHOOSE(RANDBETWEEN(1,3),"Transferencia","Efectivo","Tarjeta crédito")</f>
        <v>Tarjeta crédito</v>
      </c>
      <c r="T9" t="str">
        <f ca="1">IF(RANDBETWEEN(1,10)&lt;=8,"Pagado","Pendiente")</f>
        <v>Pendiente</v>
      </c>
      <c r="V9" t="s">
        <v>72</v>
      </c>
      <c r="W9" t="s">
        <v>70</v>
      </c>
      <c r="X9">
        <v>0.11</v>
      </c>
      <c r="Y9" t="s">
        <v>123</v>
      </c>
      <c r="Z9" t="s">
        <v>124</v>
      </c>
    </row>
    <row r="10" spans="1:30" x14ac:dyDescent="0.35">
      <c r="A10" t="str">
        <f>"GA-"&amp;TEXT(2000+ROW()-2,"0000")</f>
        <v>GA-2008</v>
      </c>
      <c r="B10" s="1">
        <f ca="1">DATE(2026,1,1)+RANDBETWEEN(0,119)</f>
        <v>46047</v>
      </c>
      <c r="C10" t="str" cm="1">
        <f t="array" aca="1" ref="C10" ca="1">INDEX($V$2:$V$31,RANDBETWEEN(1,30))</f>
        <v>Arrendamiento local comercial</v>
      </c>
      <c r="D10" t="str" cm="1">
        <f t="array" aca="1" ref="D10" ca="1">INDEX($Y$2:$Y$26,RANDBETWEEN(1,25))</f>
        <v>Bufete Jurídico Aburrá Ltda.</v>
      </c>
      <c r="E10" t="str">
        <f ca="1">INDEX($Z$2:$Z$26,MATCH(D10,$Y$2:$Y$26,0))</f>
        <v>901345678-3</v>
      </c>
      <c r="F10" t="str">
        <f ca="1">INDEX($W$2:$W$31,MATCH(C10,$V$2:$V$31,0))</f>
        <v>Arrendamientos</v>
      </c>
      <c r="G10" t="str" cm="1">
        <f t="array" aca="1" ref="G10" ca="1">INDEX($AB$2:$AB$6,RANDBETWEEN(1,5))</f>
        <v>Bodega</v>
      </c>
      <c r="H10" s="2">
        <f ca="1">ROUND(RANDBETWEEN(150000,8500000),-2)</f>
        <v>5728000</v>
      </c>
      <c r="I10" s="3">
        <f ca="1">IF(OR(F10="Servicios Públicos",F10="Financieros",F10="Legales",F10="Seguros"),0,0.19)</f>
        <v>0.19</v>
      </c>
      <c r="J10" s="2">
        <f ca="1">ROUND(H10*I10,0)</f>
        <v>1088320</v>
      </c>
      <c r="K10" s="2">
        <f ca="1">H10+J10</f>
        <v>6816320</v>
      </c>
      <c r="L10" s="15">
        <f ca="1">INDEX($X$2:$X$31,MATCH(C10,$V$2:$V$31,0))</f>
        <v>3.5000000000000003E-2</v>
      </c>
      <c r="M10" s="2">
        <f ca="1">ROUND(H10*L10,0)</f>
        <v>200480</v>
      </c>
      <c r="N10" s="3">
        <f ca="1">IF(I10=0,0,0.15)</f>
        <v>0.15</v>
      </c>
      <c r="O10" s="2">
        <f ca="1">ROUND(J10*N10,0)</f>
        <v>163248</v>
      </c>
      <c r="P10" s="4">
        <f>0.01104</f>
        <v>1.1039999999999999E-2</v>
      </c>
      <c r="Q10" s="2">
        <f ca="1">ROUND(H10*P10,0)</f>
        <v>63237</v>
      </c>
      <c r="R10" s="2">
        <f ca="1">K10-M10-O10-Q10</f>
        <v>6389355</v>
      </c>
      <c r="S10" t="str">
        <f ca="1">CHOOSE(RANDBETWEEN(1,3),"Transferencia","Efectivo","Tarjeta crédito")</f>
        <v>Transferencia</v>
      </c>
      <c r="T10" t="str">
        <f ca="1">IF(RANDBETWEEN(1,10)&lt;=8,"Pagado","Pendiente")</f>
        <v>Pagado</v>
      </c>
      <c r="V10" t="s">
        <v>73</v>
      </c>
      <c r="W10" t="s">
        <v>74</v>
      </c>
      <c r="X10">
        <v>0.04</v>
      </c>
      <c r="Y10" t="s">
        <v>125</v>
      </c>
      <c r="Z10" t="s">
        <v>126</v>
      </c>
    </row>
    <row r="11" spans="1:30" x14ac:dyDescent="0.35">
      <c r="A11" t="str">
        <f>"GA-"&amp;TEXT(2000+ROW()-2,"0000")</f>
        <v>GA-2009</v>
      </c>
      <c r="B11" s="1">
        <f ca="1">DATE(2026,1,1)+RANDBETWEEN(0,119)</f>
        <v>46092</v>
      </c>
      <c r="C11" t="str" cm="1">
        <f t="array" aca="1" ref="C11" ca="1">INDEX($V$2:$V$31,RANDBETWEEN(1,30))</f>
        <v>Honorarios asesoría jurídica</v>
      </c>
      <c r="D11" t="str" cm="1">
        <f t="array" aca="1" ref="D11" ca="1">INDEX($Y$2:$Y$26,RANDBETWEEN(1,25))</f>
        <v>Bancolombia S.A.</v>
      </c>
      <c r="E11" t="str">
        <f ca="1">INDEX($Z$2:$Z$26,MATCH(D11,$Y$2:$Y$26,0))</f>
        <v>890903938-8</v>
      </c>
      <c r="F11" t="str">
        <f ca="1">INDEX($W$2:$W$31,MATCH(C11,$V$2:$V$31,0))</f>
        <v>Honorarios</v>
      </c>
      <c r="G11" t="str" cm="1">
        <f t="array" aca="1" ref="G11" ca="1">INDEX($AB$2:$AB$6,RANDBETWEEN(1,5))</f>
        <v>Bodega</v>
      </c>
      <c r="H11" s="2">
        <f ca="1">ROUND(RANDBETWEEN(150000,8500000),-2)</f>
        <v>2512600</v>
      </c>
      <c r="I11" s="3">
        <f ca="1">IF(OR(F11="Servicios Públicos",F11="Financieros",F11="Legales",F11="Seguros"),0,0.19)</f>
        <v>0.19</v>
      </c>
      <c r="J11" s="2">
        <f ca="1">ROUND(H11*I11,0)</f>
        <v>477394</v>
      </c>
      <c r="K11" s="2">
        <f ca="1">H11+J11</f>
        <v>2989994</v>
      </c>
      <c r="L11" s="15">
        <f ca="1">INDEX($X$2:$X$31,MATCH(C11,$V$2:$V$31,0))</f>
        <v>0.11</v>
      </c>
      <c r="M11" s="2">
        <f ca="1">ROUND(H11*L11,0)</f>
        <v>276386</v>
      </c>
      <c r="N11" s="3">
        <f ca="1">IF(I11=0,0,0.15)</f>
        <v>0.15</v>
      </c>
      <c r="O11" s="2">
        <f ca="1">ROUND(J11*N11,0)</f>
        <v>71609</v>
      </c>
      <c r="P11" s="4">
        <f>0.01104</f>
        <v>1.1039999999999999E-2</v>
      </c>
      <c r="Q11" s="2">
        <f ca="1">ROUND(H11*P11,0)</f>
        <v>27739</v>
      </c>
      <c r="R11" s="2">
        <f ca="1">K11-M11-O11-Q11</f>
        <v>2614260</v>
      </c>
      <c r="S11" t="str">
        <f ca="1">CHOOSE(RANDBETWEEN(1,3),"Transferencia","Efectivo","Tarjeta crédito")</f>
        <v>Tarjeta crédito</v>
      </c>
      <c r="T11" t="str">
        <f ca="1">IF(RANDBETWEEN(1,10)&lt;=8,"Pagado","Pendiente")</f>
        <v>Pagado</v>
      </c>
      <c r="V11" t="s">
        <v>75</v>
      </c>
      <c r="W11" t="s">
        <v>74</v>
      </c>
      <c r="X11">
        <v>0.02</v>
      </c>
      <c r="Y11" t="s">
        <v>127</v>
      </c>
      <c r="Z11" t="s">
        <v>128</v>
      </c>
    </row>
    <row r="12" spans="1:30" x14ac:dyDescent="0.35">
      <c r="A12" t="str">
        <f>"GA-"&amp;TEXT(2000+ROW()-2,"0000")</f>
        <v>GA-2010</v>
      </c>
      <c r="B12" s="1">
        <f ca="1">DATE(2026,1,1)+RANDBETWEEN(0,119)</f>
        <v>46071</v>
      </c>
      <c r="C12" t="str" cm="1">
        <f t="array" aca="1" ref="C12" ca="1">INDEX($V$2:$V$31,RANDBETWEEN(1,30))</f>
        <v>Combustible vehículo de reparto</v>
      </c>
      <c r="D12" t="str" cm="1">
        <f t="array" aca="1" ref="D12" ca="1">INDEX($Y$2:$Y$26,RANDBETWEEN(1,25))</f>
        <v>TecnoSoporte Paisa S.A.S.</v>
      </c>
      <c r="E12" t="str">
        <f ca="1">INDEX($Z$2:$Z$26,MATCH(D12,$Y$2:$Y$26,0))</f>
        <v>901456789-6</v>
      </c>
      <c r="F12" t="str">
        <f ca="1">INDEX($W$2:$W$31,MATCH(C12,$V$2:$V$31,0))</f>
        <v>Transporte</v>
      </c>
      <c r="G12" t="str" cm="1">
        <f t="array" aca="1" ref="G12" ca="1">INDEX($AB$2:$AB$6,RANDBETWEEN(1,5))</f>
        <v>Ventas</v>
      </c>
      <c r="H12" s="2">
        <f ca="1">ROUND(RANDBETWEEN(150000,8500000),-2)</f>
        <v>1297900</v>
      </c>
      <c r="I12" s="3">
        <f ca="1">IF(OR(F12="Servicios Públicos",F12="Financieros",F12="Legales",F12="Seguros"),0,0.19)</f>
        <v>0.19</v>
      </c>
      <c r="J12" s="2">
        <f ca="1">ROUND(H12*I12,0)</f>
        <v>246601</v>
      </c>
      <c r="K12" s="2">
        <f ca="1">H12+J12</f>
        <v>1544501</v>
      </c>
      <c r="L12" s="15">
        <f ca="1">INDEX($X$2:$X$31,MATCH(C12,$V$2:$V$31,0))</f>
        <v>1E-3</v>
      </c>
      <c r="M12" s="2">
        <f ca="1">ROUND(H12*L12,0)</f>
        <v>1298</v>
      </c>
      <c r="N12" s="3">
        <f ca="1">IF(I12=0,0,0.15)</f>
        <v>0.15</v>
      </c>
      <c r="O12" s="2">
        <f ca="1">ROUND(J12*N12,0)</f>
        <v>36990</v>
      </c>
      <c r="P12" s="4">
        <f>0.01104</f>
        <v>1.1039999999999999E-2</v>
      </c>
      <c r="Q12" s="2">
        <f ca="1">ROUND(H12*P12,0)</f>
        <v>14329</v>
      </c>
      <c r="R12" s="2">
        <f ca="1">K12-M12-O12-Q12</f>
        <v>1491884</v>
      </c>
      <c r="S12" t="str">
        <f ca="1">CHOOSE(RANDBETWEEN(1,3),"Transferencia","Efectivo","Tarjeta crédito")</f>
        <v>Transferencia</v>
      </c>
      <c r="T12" t="str">
        <f ca="1">IF(RANDBETWEEN(1,10)&lt;=8,"Pagado","Pendiente")</f>
        <v>Pendiente</v>
      </c>
      <c r="V12" t="s">
        <v>76</v>
      </c>
      <c r="W12" t="s">
        <v>77</v>
      </c>
      <c r="X12">
        <v>0.04</v>
      </c>
      <c r="Y12" t="s">
        <v>129</v>
      </c>
      <c r="Z12" t="s">
        <v>130</v>
      </c>
    </row>
    <row r="13" spans="1:30" x14ac:dyDescent="0.35">
      <c r="A13" t="str">
        <f>"GA-"&amp;TEXT(2000+ROW()-2,"0000")</f>
        <v>GA-2011</v>
      </c>
      <c r="B13" s="1">
        <f ca="1">DATE(2026,1,1)+RANDBETWEEN(0,119)</f>
        <v>46059</v>
      </c>
      <c r="C13" t="str" cm="1">
        <f t="array" aca="1" ref="C13" ca="1">INDEX($V$2:$V$31,RANDBETWEEN(1,30))</f>
        <v>Peajes y parqueaderos</v>
      </c>
      <c r="D13" t="str" cm="1">
        <f t="array" aca="1" ref="D13" ca="1">INDEX($Y$2:$Y$26,RANDBETWEEN(1,25))</f>
        <v>Software Contable Siigo S.A.</v>
      </c>
      <c r="E13" t="str">
        <f ca="1">INDEX($Z$2:$Z$26,MATCH(D13,$Y$2:$Y$26,0))</f>
        <v>830067335-9</v>
      </c>
      <c r="F13" t="str">
        <f ca="1">INDEX($W$2:$W$31,MATCH(C13,$V$2:$V$31,0))</f>
        <v>Transporte</v>
      </c>
      <c r="G13" t="str" cm="1">
        <f t="array" aca="1" ref="G13" ca="1">INDEX($AB$2:$AB$6,RANDBETWEEN(1,5))</f>
        <v>Gerencia</v>
      </c>
      <c r="H13" s="2">
        <f ca="1">ROUND(RANDBETWEEN(150000,8500000),-2)</f>
        <v>5524300</v>
      </c>
      <c r="I13" s="3">
        <f ca="1">IF(OR(F13="Servicios Públicos",F13="Financieros",F13="Legales",F13="Seguros"),0,0.19)</f>
        <v>0.19</v>
      </c>
      <c r="J13" s="2">
        <f ca="1">ROUND(H13*I13,0)</f>
        <v>1049617</v>
      </c>
      <c r="K13" s="2">
        <f ca="1">H13+J13</f>
        <v>6573917</v>
      </c>
      <c r="L13" s="15">
        <f ca="1">INDEX($X$2:$X$31,MATCH(C13,$V$2:$V$31,0))</f>
        <v>0</v>
      </c>
      <c r="M13" s="2">
        <f ca="1">ROUND(H13*L13,0)</f>
        <v>0</v>
      </c>
      <c r="N13" s="3">
        <f ca="1">IF(I13=0,0,0.15)</f>
        <v>0.15</v>
      </c>
      <c r="O13" s="2">
        <f ca="1">ROUND(J13*N13,0)</f>
        <v>157443</v>
      </c>
      <c r="P13" s="4">
        <f>0.01104</f>
        <v>1.1039999999999999E-2</v>
      </c>
      <c r="Q13" s="2">
        <f ca="1">ROUND(H13*P13,0)</f>
        <v>60988</v>
      </c>
      <c r="R13" s="2">
        <f ca="1">K13-M13-O13-Q13</f>
        <v>6355486</v>
      </c>
      <c r="S13" t="str">
        <f ca="1">CHOOSE(RANDBETWEEN(1,3),"Transferencia","Efectivo","Tarjeta crédito")</f>
        <v>Efectivo</v>
      </c>
      <c r="T13" t="str">
        <f ca="1">IF(RANDBETWEEN(1,10)&lt;=8,"Pagado","Pendiente")</f>
        <v>Pendiente</v>
      </c>
      <c r="V13" t="s">
        <v>78</v>
      </c>
      <c r="W13" t="s">
        <v>77</v>
      </c>
      <c r="X13">
        <v>0.02</v>
      </c>
      <c r="Y13" t="s">
        <v>131</v>
      </c>
      <c r="Z13" t="s">
        <v>132</v>
      </c>
    </row>
    <row r="14" spans="1:30" x14ac:dyDescent="0.35">
      <c r="A14" t="str">
        <f>"GA-"&amp;TEXT(2000+ROW()-2,"0000")</f>
        <v>GA-2012</v>
      </c>
      <c r="B14" s="1">
        <f ca="1">DATE(2026,1,1)+RANDBETWEEN(0,119)</f>
        <v>46106</v>
      </c>
      <c r="C14" t="str" cm="1">
        <f t="array" aca="1" ref="C14" ca="1">INDEX($V$2:$V$31,RANDBETWEEN(1,30))</f>
        <v>Combustible vehículo de reparto</v>
      </c>
      <c r="D14" t="str" cm="1">
        <f t="array" aca="1" ref="D14" ca="1">INDEX($Y$2:$Y$26,RANDBETWEEN(1,25))</f>
        <v>Tigo UNE Telecomunicaciones S.A.</v>
      </c>
      <c r="E14" t="str">
        <f ca="1">INDEX($Z$2:$Z$26,MATCH(D14,$Y$2:$Y$26,0))</f>
        <v>830122566-1</v>
      </c>
      <c r="F14" t="str">
        <f ca="1">INDEX($W$2:$W$31,MATCH(C14,$V$2:$V$31,0))</f>
        <v>Transporte</v>
      </c>
      <c r="G14" t="str" cm="1">
        <f t="array" aca="1" ref="G14" ca="1">INDEX($AB$2:$AB$6,RANDBETWEEN(1,5))</f>
        <v>Administración</v>
      </c>
      <c r="H14" s="2">
        <f ca="1">ROUND(RANDBETWEEN(150000,8500000),-2)</f>
        <v>8411300</v>
      </c>
      <c r="I14" s="3">
        <f ca="1">IF(OR(F14="Servicios Públicos",F14="Financieros",F14="Legales",F14="Seguros"),0,0.19)</f>
        <v>0.19</v>
      </c>
      <c r="J14" s="2">
        <f ca="1">ROUND(H14*I14,0)</f>
        <v>1598147</v>
      </c>
      <c r="K14" s="2">
        <f ca="1">H14+J14</f>
        <v>10009447</v>
      </c>
      <c r="L14" s="15">
        <f ca="1">INDEX($X$2:$X$31,MATCH(C14,$V$2:$V$31,0))</f>
        <v>1E-3</v>
      </c>
      <c r="M14" s="2">
        <f ca="1">ROUND(H14*L14,0)</f>
        <v>8411</v>
      </c>
      <c r="N14" s="3">
        <f ca="1">IF(I14=0,0,0.15)</f>
        <v>0.15</v>
      </c>
      <c r="O14" s="2">
        <f ca="1">ROUND(J14*N14,0)</f>
        <v>239722</v>
      </c>
      <c r="P14" s="4">
        <f>0.01104</f>
        <v>1.1039999999999999E-2</v>
      </c>
      <c r="Q14" s="2">
        <f ca="1">ROUND(H14*P14,0)</f>
        <v>92861</v>
      </c>
      <c r="R14" s="2">
        <f ca="1">K14-M14-O14-Q14</f>
        <v>9668453</v>
      </c>
      <c r="S14" t="str">
        <f ca="1">CHOOSE(RANDBETWEEN(1,3),"Transferencia","Efectivo","Tarjeta crédito")</f>
        <v>Transferencia</v>
      </c>
      <c r="T14" t="str">
        <f ca="1">IF(RANDBETWEEN(1,10)&lt;=8,"Pagado","Pendiente")</f>
        <v>Pagado</v>
      </c>
      <c r="V14" t="s">
        <v>79</v>
      </c>
      <c r="W14" t="s">
        <v>80</v>
      </c>
      <c r="X14">
        <v>2.5000000000000001E-2</v>
      </c>
      <c r="Y14" t="s">
        <v>133</v>
      </c>
      <c r="Z14" t="s">
        <v>134</v>
      </c>
    </row>
    <row r="15" spans="1:30" x14ac:dyDescent="0.35">
      <c r="A15" t="str">
        <f>"GA-"&amp;TEXT(2000+ROW()-2,"0000")</f>
        <v>GA-2013</v>
      </c>
      <c r="B15" s="1">
        <f ca="1">DATE(2026,1,1)+RANDBETWEEN(0,119)</f>
        <v>46102</v>
      </c>
      <c r="C15" t="str" cm="1">
        <f t="array" aca="1" ref="C15" ca="1">INDEX($V$2:$V$31,RANDBETWEEN(1,30))</f>
        <v>Servicio de gas natural</v>
      </c>
      <c r="D15" t="str" cm="1">
        <f t="array" aca="1" ref="D15" ca="1">INDEX($Y$2:$Y$26,RANDBETWEEN(1,25))</f>
        <v>Imprenta Suramericana Ltda.</v>
      </c>
      <c r="E15" t="str">
        <f ca="1">INDEX($Z$2:$Z$26,MATCH(D15,$Y$2:$Y$26,0))</f>
        <v>890345678-2</v>
      </c>
      <c r="F15" t="str">
        <f ca="1">INDEX($W$2:$W$31,MATCH(C15,$V$2:$V$31,0))</f>
        <v>Servicios Públicos</v>
      </c>
      <c r="G15" t="str" cm="1">
        <f t="array" aca="1" ref="G15" ca="1">INDEX($AB$2:$AB$6,RANDBETWEEN(1,5))</f>
        <v>Logística</v>
      </c>
      <c r="H15" s="2">
        <f ca="1">ROUND(RANDBETWEEN(150000,8500000),-2)</f>
        <v>2225000</v>
      </c>
      <c r="I15" s="3">
        <f ca="1">IF(OR(F15="Servicios Públicos",F15="Financieros",F15="Legales",F15="Seguros"),0,0.19)</f>
        <v>0</v>
      </c>
      <c r="J15" s="2">
        <f ca="1">ROUND(H15*I15,0)</f>
        <v>0</v>
      </c>
      <c r="K15" s="2">
        <f ca="1">H15+J15</f>
        <v>2225000</v>
      </c>
      <c r="L15" s="15">
        <f ca="1">INDEX($X$2:$X$31,MATCH(C15,$V$2:$V$31,0))</f>
        <v>0</v>
      </c>
      <c r="M15" s="2">
        <f ca="1">ROUND(H15*L15,0)</f>
        <v>0</v>
      </c>
      <c r="N15" s="3">
        <f ca="1">IF(I15=0,0,0.15)</f>
        <v>0</v>
      </c>
      <c r="O15" s="2">
        <f ca="1">ROUND(J15*N15,0)</f>
        <v>0</v>
      </c>
      <c r="P15" s="4">
        <f>0.01104</f>
        <v>1.1039999999999999E-2</v>
      </c>
      <c r="Q15" s="2">
        <f ca="1">ROUND(H15*P15,0)</f>
        <v>24564</v>
      </c>
      <c r="R15" s="2">
        <f ca="1">K15-M15-O15-Q15</f>
        <v>2200436</v>
      </c>
      <c r="S15" t="str">
        <f ca="1">CHOOSE(RANDBETWEEN(1,3),"Transferencia","Efectivo","Tarjeta crédito")</f>
        <v>Transferencia</v>
      </c>
      <c r="T15" t="str">
        <f ca="1">IF(RANDBETWEEN(1,10)&lt;=8,"Pagado","Pendiente")</f>
        <v>Pagado</v>
      </c>
      <c r="V15" t="s">
        <v>81</v>
      </c>
      <c r="W15" t="s">
        <v>80</v>
      </c>
      <c r="X15">
        <v>2.5000000000000001E-2</v>
      </c>
      <c r="Y15" t="s">
        <v>135</v>
      </c>
      <c r="Z15" t="s">
        <v>136</v>
      </c>
    </row>
    <row r="16" spans="1:30" x14ac:dyDescent="0.35">
      <c r="A16" t="str">
        <f>"GA-"&amp;TEXT(2000+ROW()-2,"0000")</f>
        <v>GA-2014</v>
      </c>
      <c r="B16" s="1">
        <f ca="1">DATE(2026,1,1)+RANDBETWEEN(0,119)</f>
        <v>46129</v>
      </c>
      <c r="C16" t="str" cm="1">
        <f t="array" aca="1" ref="C16" ca="1">INDEX($V$2:$V$31,RANDBETWEEN(1,30))</f>
        <v>Servicio de internet y telefonía</v>
      </c>
      <c r="D16" t="str" cm="1">
        <f t="array" aca="1" ref="D16" ca="1">INDEX($Y$2:$Y$26,RANDBETWEEN(1,25))</f>
        <v>Servientrega S.A.</v>
      </c>
      <c r="E16" t="str">
        <f ca="1">INDEX($Z$2:$Z$26,MATCH(D16,$Y$2:$Y$26,0))</f>
        <v>860512330-3</v>
      </c>
      <c r="F16" t="str">
        <f ca="1">INDEX($W$2:$W$31,MATCH(C16,$V$2:$V$31,0))</f>
        <v>Servicios Públicos</v>
      </c>
      <c r="G16" t="str" cm="1">
        <f t="array" aca="1" ref="G16" ca="1">INDEX($AB$2:$AB$6,RANDBETWEEN(1,5))</f>
        <v>Administración</v>
      </c>
      <c r="H16" s="2">
        <f ca="1">ROUND(RANDBETWEEN(150000,8500000),-2)</f>
        <v>6301100</v>
      </c>
      <c r="I16" s="3">
        <f ca="1">IF(OR(F16="Servicios Públicos",F16="Financieros",F16="Legales",F16="Seguros"),0,0.19)</f>
        <v>0</v>
      </c>
      <c r="J16" s="2">
        <f ca="1">ROUND(H16*I16,0)</f>
        <v>0</v>
      </c>
      <c r="K16" s="2">
        <f ca="1">H16+J16</f>
        <v>6301100</v>
      </c>
      <c r="L16" s="15">
        <f ca="1">INDEX($X$2:$X$31,MATCH(C16,$V$2:$V$31,0))</f>
        <v>0.04</v>
      </c>
      <c r="M16" s="2">
        <f ca="1">ROUND(H16*L16,0)</f>
        <v>252044</v>
      </c>
      <c r="N16" s="3">
        <f ca="1">IF(I16=0,0,0.15)</f>
        <v>0</v>
      </c>
      <c r="O16" s="2">
        <f ca="1">ROUND(J16*N16,0)</f>
        <v>0</v>
      </c>
      <c r="P16" s="4">
        <f>0.01104</f>
        <v>1.1039999999999999E-2</v>
      </c>
      <c r="Q16" s="2">
        <f ca="1">ROUND(H16*P16,0)</f>
        <v>69564</v>
      </c>
      <c r="R16" s="2">
        <f ca="1">K16-M16-O16-Q16</f>
        <v>5979492</v>
      </c>
      <c r="S16" t="str">
        <f ca="1">CHOOSE(RANDBETWEEN(1,3),"Transferencia","Efectivo","Tarjeta crédito")</f>
        <v>Transferencia</v>
      </c>
      <c r="T16" t="str">
        <f ca="1">IF(RANDBETWEEN(1,10)&lt;=8,"Pagado","Pendiente")</f>
        <v>Pagado</v>
      </c>
      <c r="V16" t="s">
        <v>82</v>
      </c>
      <c r="W16" t="s">
        <v>83</v>
      </c>
      <c r="X16">
        <v>3.5000000000000003E-2</v>
      </c>
      <c r="Y16" t="s">
        <v>137</v>
      </c>
      <c r="Z16" t="s">
        <v>138</v>
      </c>
    </row>
    <row r="17" spans="1:26" x14ac:dyDescent="0.35">
      <c r="A17" t="str">
        <f>"GA-"&amp;TEXT(2000+ROW()-2,"0000")</f>
        <v>GA-2015</v>
      </c>
      <c r="B17" s="1">
        <f ca="1">DATE(2026,1,1)+RANDBETWEEN(0,119)</f>
        <v>46120</v>
      </c>
      <c r="C17" t="str" cm="1">
        <f t="array" aca="1" ref="C17" ca="1">INDEX($V$2:$V$31,RANDBETWEEN(1,30))</f>
        <v>Tóner y suministros de impresora</v>
      </c>
      <c r="D17" t="str" cm="1">
        <f t="array" aca="1" ref="D17" ca="1">INDEX($Y$2:$Y$26,RANDBETWEEN(1,25))</f>
        <v>Tigo UNE Telecomunicaciones S.A.</v>
      </c>
      <c r="E17" t="str">
        <f ca="1">INDEX($Z$2:$Z$26,MATCH(D17,$Y$2:$Y$26,0))</f>
        <v>830122566-1</v>
      </c>
      <c r="F17" t="str">
        <f ca="1">INDEX($W$2:$W$31,MATCH(C17,$V$2:$V$31,0))</f>
        <v>Suministros</v>
      </c>
      <c r="G17" t="str" cm="1">
        <f t="array" aca="1" ref="G17" ca="1">INDEX($AB$2:$AB$6,RANDBETWEEN(1,5))</f>
        <v>Ventas</v>
      </c>
      <c r="H17" s="2">
        <f ca="1">ROUND(RANDBETWEEN(150000,8500000),-2)</f>
        <v>7543900</v>
      </c>
      <c r="I17" s="3">
        <f ca="1">IF(OR(F17="Servicios Públicos",F17="Financieros",F17="Legales",F17="Seguros"),0,0.19)</f>
        <v>0.19</v>
      </c>
      <c r="J17" s="2">
        <f ca="1">ROUND(H17*I17,0)</f>
        <v>1433341</v>
      </c>
      <c r="K17" s="2">
        <f ca="1">H17+J17</f>
        <v>8977241</v>
      </c>
      <c r="L17" s="15">
        <f ca="1">INDEX($X$2:$X$31,MATCH(C17,$V$2:$V$31,0))</f>
        <v>2.5000000000000001E-2</v>
      </c>
      <c r="M17" s="2">
        <f ca="1">ROUND(H17*L17,0)</f>
        <v>188598</v>
      </c>
      <c r="N17" s="3">
        <f ca="1">IF(I17=0,0,0.15)</f>
        <v>0.15</v>
      </c>
      <c r="O17" s="2">
        <f ca="1">ROUND(J17*N17,0)</f>
        <v>215001</v>
      </c>
      <c r="P17" s="4">
        <f>0.01104</f>
        <v>1.1039999999999999E-2</v>
      </c>
      <c r="Q17" s="2">
        <f ca="1">ROUND(H17*P17,0)</f>
        <v>83285</v>
      </c>
      <c r="R17" s="2">
        <f ca="1">K17-M17-O17-Q17</f>
        <v>8490357</v>
      </c>
      <c r="S17" t="str">
        <f ca="1">CHOOSE(RANDBETWEEN(1,3),"Transferencia","Efectivo","Tarjeta crédito")</f>
        <v>Transferencia</v>
      </c>
      <c r="T17" t="str">
        <f ca="1">IF(RANDBETWEEN(1,10)&lt;=8,"Pagado","Pendiente")</f>
        <v>Pagado</v>
      </c>
      <c r="V17" t="s">
        <v>84</v>
      </c>
      <c r="W17" t="s">
        <v>83</v>
      </c>
      <c r="X17">
        <v>3.5000000000000003E-2</v>
      </c>
      <c r="Y17" t="s">
        <v>139</v>
      </c>
      <c r="Z17" t="s">
        <v>140</v>
      </c>
    </row>
    <row r="18" spans="1:26" x14ac:dyDescent="0.35">
      <c r="A18" t="str">
        <f>"GA-"&amp;TEXT(2000+ROW()-2,"0000")</f>
        <v>GA-2016</v>
      </c>
      <c r="B18" s="1">
        <f ca="1">DATE(2026,1,1)+RANDBETWEEN(0,119)</f>
        <v>46124</v>
      </c>
      <c r="C18" t="str" cm="1">
        <f t="array" aca="1" ref="C18" ca="1">INDEX($V$2:$V$31,RANDBETWEEN(1,30))</f>
        <v>Pólizas de seguros comerciales</v>
      </c>
      <c r="D18" t="str" cm="1">
        <f t="array" aca="1" ref="D18" ca="1">INDEX($Y$2:$Y$26,RANDBETWEEN(1,25))</f>
        <v>EPM - Empresas Públicas de Medellín</v>
      </c>
      <c r="E18" t="str">
        <f ca="1">INDEX($Z$2:$Z$26,MATCH(D18,$Y$2:$Y$26,0))</f>
        <v>890904996-1</v>
      </c>
      <c r="F18" t="str">
        <f ca="1">INDEX($W$2:$W$31,MATCH(C18,$V$2:$V$31,0))</f>
        <v>Seguros</v>
      </c>
      <c r="G18" t="str" cm="1">
        <f t="array" aca="1" ref="G18" ca="1">INDEX($AB$2:$AB$6,RANDBETWEEN(1,5))</f>
        <v>Ventas</v>
      </c>
      <c r="H18" s="2">
        <f ca="1">ROUND(RANDBETWEEN(150000,8500000),-2)</f>
        <v>3512200</v>
      </c>
      <c r="I18" s="3">
        <f ca="1">IF(OR(F18="Servicios Públicos",F18="Financieros",F18="Legales",F18="Seguros"),0,0.19)</f>
        <v>0</v>
      </c>
      <c r="J18" s="2">
        <f ca="1">ROUND(H18*I18,0)</f>
        <v>0</v>
      </c>
      <c r="K18" s="2">
        <f ca="1">H18+J18</f>
        <v>3512200</v>
      </c>
      <c r="L18" s="15">
        <f ca="1">INDEX($X$2:$X$31,MATCH(C18,$V$2:$V$31,0))</f>
        <v>2.4E-2</v>
      </c>
      <c r="M18" s="2">
        <f ca="1">ROUND(H18*L18,0)</f>
        <v>84293</v>
      </c>
      <c r="N18" s="3">
        <f ca="1">IF(I18=0,0,0.15)</f>
        <v>0</v>
      </c>
      <c r="O18" s="2">
        <f ca="1">ROUND(J18*N18,0)</f>
        <v>0</v>
      </c>
      <c r="P18" s="4">
        <f>0.01104</f>
        <v>1.1039999999999999E-2</v>
      </c>
      <c r="Q18" s="2">
        <f ca="1">ROUND(H18*P18,0)</f>
        <v>38775</v>
      </c>
      <c r="R18" s="2">
        <f ca="1">K18-M18-O18-Q18</f>
        <v>3389132</v>
      </c>
      <c r="S18" t="str">
        <f ca="1">CHOOSE(RANDBETWEEN(1,3),"Transferencia","Efectivo","Tarjeta crédito")</f>
        <v>Efectivo</v>
      </c>
      <c r="T18" t="str">
        <f ca="1">IF(RANDBETWEEN(1,10)&lt;=8,"Pagado","Pendiente")</f>
        <v>Pagado</v>
      </c>
      <c r="V18" t="s">
        <v>85</v>
      </c>
      <c r="W18" t="s">
        <v>86</v>
      </c>
      <c r="X18">
        <v>0.04</v>
      </c>
      <c r="Y18" t="s">
        <v>141</v>
      </c>
      <c r="Z18" t="s">
        <v>142</v>
      </c>
    </row>
    <row r="19" spans="1:26" x14ac:dyDescent="0.35">
      <c r="A19" t="str">
        <f>"GA-"&amp;TEXT(2000+ROW()-2,"0000")</f>
        <v>GA-2017</v>
      </c>
      <c r="B19" s="1">
        <f ca="1">DATE(2026,1,1)+RANDBETWEEN(0,119)</f>
        <v>46097</v>
      </c>
      <c r="C19" t="str" cm="1">
        <f t="array" aca="1" ref="C19" ca="1">INDEX($V$2:$V$31,RANDBETWEEN(1,30))</f>
        <v>Plataforma facturación electrónica</v>
      </c>
      <c r="D19" t="str" cm="1">
        <f t="array" aca="1" ref="D19" ca="1">INDEX($Y$2:$Y$26,RANDBETWEEN(1,25))</f>
        <v>Distribuidora Café Aburrá Ltda.</v>
      </c>
      <c r="E19" t="str">
        <f ca="1">INDEX($Z$2:$Z$26,MATCH(D19,$Y$2:$Y$26,0))</f>
        <v>901890123-7</v>
      </c>
      <c r="F19" t="str">
        <f ca="1">INDEX($W$2:$W$31,MATCH(C19,$V$2:$V$31,0))</f>
        <v>Tecnología</v>
      </c>
      <c r="G19" t="str" cm="1">
        <f t="array" aca="1" ref="G19" ca="1">INDEX($AB$2:$AB$6,RANDBETWEEN(1,5))</f>
        <v>Bodega</v>
      </c>
      <c r="H19" s="2">
        <f ca="1">ROUND(RANDBETWEEN(150000,8500000),-2)</f>
        <v>7836100</v>
      </c>
      <c r="I19" s="3">
        <f ca="1">IF(OR(F19="Servicios Públicos",F19="Financieros",F19="Legales",F19="Seguros"),0,0.19)</f>
        <v>0.19</v>
      </c>
      <c r="J19" s="2">
        <f ca="1">ROUND(H19*I19,0)</f>
        <v>1488859</v>
      </c>
      <c r="K19" s="2">
        <f ca="1">H19+J19</f>
        <v>9324959</v>
      </c>
      <c r="L19" s="15">
        <f ca="1">INDEX($X$2:$X$31,MATCH(C19,$V$2:$V$31,0))</f>
        <v>3.5000000000000003E-2</v>
      </c>
      <c r="M19" s="2">
        <f ca="1">ROUND(H19*L19,0)</f>
        <v>274264</v>
      </c>
      <c r="N19" s="3">
        <f ca="1">IF(I19=0,0,0.15)</f>
        <v>0.15</v>
      </c>
      <c r="O19" s="2">
        <f ca="1">ROUND(J19*N19,0)</f>
        <v>223329</v>
      </c>
      <c r="P19" s="4">
        <f>0.01104</f>
        <v>1.1039999999999999E-2</v>
      </c>
      <c r="Q19" s="2">
        <f ca="1">ROUND(H19*P19,0)</f>
        <v>86511</v>
      </c>
      <c r="R19" s="2">
        <f ca="1">K19-M19-O19-Q19</f>
        <v>8740855</v>
      </c>
      <c r="S19" t="str">
        <f ca="1">CHOOSE(RANDBETWEEN(1,3),"Transferencia","Efectivo","Tarjeta crédito")</f>
        <v>Efectivo</v>
      </c>
      <c r="T19" t="str">
        <f ca="1">IF(RANDBETWEEN(1,10)&lt;=8,"Pagado","Pendiente")</f>
        <v>Pendiente</v>
      </c>
      <c r="V19" t="s">
        <v>87</v>
      </c>
      <c r="W19" t="s">
        <v>86</v>
      </c>
      <c r="X19">
        <v>2.5000000000000001E-2</v>
      </c>
      <c r="Y19" t="s">
        <v>143</v>
      </c>
      <c r="Z19" t="s">
        <v>144</v>
      </c>
    </row>
    <row r="20" spans="1:26" x14ac:dyDescent="0.35">
      <c r="A20" t="str">
        <f>"GA-"&amp;TEXT(2000+ROW()-2,"0000")</f>
        <v>GA-2018</v>
      </c>
      <c r="B20" s="1">
        <f ca="1">DATE(2026,1,1)+RANDBETWEEN(0,119)</f>
        <v>46067</v>
      </c>
      <c r="C20" t="str" cm="1">
        <f t="array" aca="1" ref="C20" ca="1">INDEX($V$2:$V$31,RANDBETWEEN(1,30))</f>
        <v>Capacitación personal en SST</v>
      </c>
      <c r="D20" t="str" cm="1">
        <f t="array" aca="1" ref="D20" ca="1">INDEX($Y$2:$Y$26,RANDBETWEEN(1,25))</f>
        <v>Cámara de Comercio de Medellín</v>
      </c>
      <c r="E20" t="str">
        <f ca="1">INDEX($Z$2:$Z$26,MATCH(D20,$Y$2:$Y$26,0))</f>
        <v>890900672-1</v>
      </c>
      <c r="F20" t="str">
        <f ca="1">INDEX($W$2:$W$31,MATCH(C20,$V$2:$V$31,0))</f>
        <v>Capacitación</v>
      </c>
      <c r="G20" t="str" cm="1">
        <f t="array" aca="1" ref="G20" ca="1">INDEX($AB$2:$AB$6,RANDBETWEEN(1,5))</f>
        <v>Administración</v>
      </c>
      <c r="H20" s="2">
        <f ca="1">ROUND(RANDBETWEEN(150000,8500000),-2)</f>
        <v>1649700</v>
      </c>
      <c r="I20" s="3">
        <f ca="1">IF(OR(F20="Servicios Públicos",F20="Financieros",F20="Legales",F20="Seguros"),0,0.19)</f>
        <v>0.19</v>
      </c>
      <c r="J20" s="2">
        <f ca="1">ROUND(H20*I20,0)</f>
        <v>313443</v>
      </c>
      <c r="K20" s="2">
        <f ca="1">H20+J20</f>
        <v>1963143</v>
      </c>
      <c r="L20" s="15">
        <f ca="1">INDEX($X$2:$X$31,MATCH(C20,$V$2:$V$31,0))</f>
        <v>0.11</v>
      </c>
      <c r="M20" s="2">
        <f ca="1">ROUND(H20*L20,0)</f>
        <v>181467</v>
      </c>
      <c r="N20" s="3">
        <f ca="1">IF(I20=0,0,0.15)</f>
        <v>0.15</v>
      </c>
      <c r="O20" s="2">
        <f ca="1">ROUND(J20*N20,0)</f>
        <v>47016</v>
      </c>
      <c r="P20" s="4">
        <f>0.01104</f>
        <v>1.1039999999999999E-2</v>
      </c>
      <c r="Q20" s="2">
        <f ca="1">ROUND(H20*P20,0)</f>
        <v>18213</v>
      </c>
      <c r="R20" s="2">
        <f ca="1">K20-M20-O20-Q20</f>
        <v>1716447</v>
      </c>
      <c r="S20" t="str">
        <f ca="1">CHOOSE(RANDBETWEEN(1,3),"Transferencia","Efectivo","Tarjeta crédito")</f>
        <v>Transferencia</v>
      </c>
      <c r="T20" t="str">
        <f ca="1">IF(RANDBETWEEN(1,10)&lt;=8,"Pagado","Pendiente")</f>
        <v>Pagado</v>
      </c>
      <c r="V20" t="s">
        <v>88</v>
      </c>
      <c r="W20" t="s">
        <v>89</v>
      </c>
      <c r="X20">
        <v>0.11</v>
      </c>
      <c r="Y20" t="s">
        <v>145</v>
      </c>
      <c r="Z20" t="s">
        <v>146</v>
      </c>
    </row>
    <row r="21" spans="1:26" x14ac:dyDescent="0.35">
      <c r="A21" t="str">
        <f>"GA-"&amp;TEXT(2000+ROW()-2,"0000")</f>
        <v>GA-2019</v>
      </c>
      <c r="B21" s="1">
        <f ca="1">DATE(2026,1,1)+RANDBETWEEN(0,119)</f>
        <v>46047</v>
      </c>
      <c r="C21" t="str" cm="1">
        <f t="array" aca="1" ref="C21" ca="1">INDEX($V$2:$V$31,RANDBETWEEN(1,30))</f>
        <v>Café, agua y refrigerios oficina</v>
      </c>
      <c r="D21" t="str" cm="1">
        <f t="array" aca="1" ref="D21" ca="1">INDEX($Y$2:$Y$26,RANDBETWEEN(1,25))</f>
        <v>Cámara de Comercio de Medellín</v>
      </c>
      <c r="E21" t="str">
        <f ca="1">INDEX($Z$2:$Z$26,MATCH(D21,$Y$2:$Y$26,0))</f>
        <v>890900672-1</v>
      </c>
      <c r="F21" t="str">
        <f ca="1">INDEX($W$2:$W$31,MATCH(C21,$V$2:$V$31,0))</f>
        <v>Suministros</v>
      </c>
      <c r="G21" t="str" cm="1">
        <f t="array" aca="1" ref="G21" ca="1">INDEX($AB$2:$AB$6,RANDBETWEEN(1,5))</f>
        <v>Bodega</v>
      </c>
      <c r="H21" s="2">
        <f ca="1">ROUND(RANDBETWEEN(150000,8500000),-2)</f>
        <v>2927100</v>
      </c>
      <c r="I21" s="3">
        <f ca="1">IF(OR(F21="Servicios Públicos",F21="Financieros",F21="Legales",F21="Seguros"),0,0.19)</f>
        <v>0.19</v>
      </c>
      <c r="J21" s="2">
        <f ca="1">ROUND(H21*I21,0)</f>
        <v>556149</v>
      </c>
      <c r="K21" s="2">
        <f ca="1">H21+J21</f>
        <v>3483249</v>
      </c>
      <c r="L21" s="15">
        <f ca="1">INDEX($X$2:$X$31,MATCH(C21,$V$2:$V$31,0))</f>
        <v>2.5000000000000001E-2</v>
      </c>
      <c r="M21" s="2">
        <f ca="1">ROUND(H21*L21,0)</f>
        <v>73178</v>
      </c>
      <c r="N21" s="3">
        <f ca="1">IF(I21=0,0,0.15)</f>
        <v>0.15</v>
      </c>
      <c r="O21" s="2">
        <f ca="1">ROUND(J21*N21,0)</f>
        <v>83422</v>
      </c>
      <c r="P21" s="4">
        <f>0.01104</f>
        <v>1.1039999999999999E-2</v>
      </c>
      <c r="Q21" s="2">
        <f ca="1">ROUND(H21*P21,0)</f>
        <v>32315</v>
      </c>
      <c r="R21" s="2">
        <f ca="1">K21-M21-O21-Q21</f>
        <v>3294334</v>
      </c>
      <c r="S21" t="str">
        <f ca="1">CHOOSE(RANDBETWEEN(1,3),"Transferencia","Efectivo","Tarjeta crédito")</f>
        <v>Tarjeta crédito</v>
      </c>
      <c r="T21" t="str">
        <f ca="1">IF(RANDBETWEEN(1,10)&lt;=8,"Pagado","Pendiente")</f>
        <v>Pagado</v>
      </c>
      <c r="V21" t="s">
        <v>90</v>
      </c>
      <c r="W21" t="s">
        <v>91</v>
      </c>
      <c r="X21">
        <v>1E-3</v>
      </c>
      <c r="Y21" t="s">
        <v>147</v>
      </c>
      <c r="Z21" t="s">
        <v>148</v>
      </c>
    </row>
    <row r="22" spans="1:26" x14ac:dyDescent="0.35">
      <c r="A22" t="str">
        <f>"GA-"&amp;TEXT(2000+ROW()-2,"0000")</f>
        <v>GA-2020</v>
      </c>
      <c r="B22" s="1">
        <f ca="1">DATE(2026,1,1)+RANDBETWEEN(0,119)</f>
        <v>46133</v>
      </c>
      <c r="C22" t="str" cm="1">
        <f t="array" aca="1" ref="C22" ca="1">INDEX($V$2:$V$31,RANDBETWEEN(1,30))</f>
        <v>Honorarios asesoría jurídica</v>
      </c>
      <c r="D22" t="str" cm="1">
        <f t="array" aca="1" ref="D22" ca="1">INDEX($Y$2:$Y$26,RANDBETWEEN(1,25))</f>
        <v>Tigo UNE Telecomunicaciones S.A.</v>
      </c>
      <c r="E22" t="str">
        <f ca="1">INDEX($Z$2:$Z$26,MATCH(D22,$Y$2:$Y$26,0))</f>
        <v>830122566-1</v>
      </c>
      <c r="F22" t="str">
        <f ca="1">INDEX($W$2:$W$31,MATCH(C22,$V$2:$V$31,0))</f>
        <v>Honorarios</v>
      </c>
      <c r="G22" t="str" cm="1">
        <f t="array" aca="1" ref="G22" ca="1">INDEX($AB$2:$AB$6,RANDBETWEEN(1,5))</f>
        <v>Ventas</v>
      </c>
      <c r="H22" s="2">
        <f ca="1">ROUND(RANDBETWEEN(150000,8500000),-2)</f>
        <v>2561400</v>
      </c>
      <c r="I22" s="3">
        <f ca="1">IF(OR(F22="Servicios Públicos",F22="Financieros",F22="Legales",F22="Seguros"),0,0.19)</f>
        <v>0.19</v>
      </c>
      <c r="J22" s="2">
        <f ca="1">ROUND(H22*I22,0)</f>
        <v>486666</v>
      </c>
      <c r="K22" s="2">
        <f ca="1">H22+J22</f>
        <v>3048066</v>
      </c>
      <c r="L22" s="15">
        <f ca="1">INDEX($X$2:$X$31,MATCH(C22,$V$2:$V$31,0))</f>
        <v>0.11</v>
      </c>
      <c r="M22" s="2">
        <f ca="1">ROUND(H22*L22,0)</f>
        <v>281754</v>
      </c>
      <c r="N22" s="3">
        <f ca="1">IF(I22=0,0,0.15)</f>
        <v>0.15</v>
      </c>
      <c r="O22" s="2">
        <f ca="1">ROUND(J22*N22,0)</f>
        <v>73000</v>
      </c>
      <c r="P22" s="4">
        <f>0.01104</f>
        <v>1.1039999999999999E-2</v>
      </c>
      <c r="Q22" s="2">
        <f ca="1">ROUND(H22*P22,0)</f>
        <v>28278</v>
      </c>
      <c r="R22" s="2">
        <f ca="1">K22-M22-O22-Q22</f>
        <v>2665034</v>
      </c>
      <c r="S22" t="str">
        <f ca="1">CHOOSE(RANDBETWEEN(1,3),"Transferencia","Efectivo","Tarjeta crédito")</f>
        <v>Transferencia</v>
      </c>
      <c r="T22" t="str">
        <f ca="1">IF(RANDBETWEEN(1,10)&lt;=8,"Pagado","Pendiente")</f>
        <v>Pagado</v>
      </c>
      <c r="V22" t="s">
        <v>92</v>
      </c>
      <c r="W22" t="s">
        <v>77</v>
      </c>
      <c r="X22">
        <v>0.04</v>
      </c>
      <c r="Y22" t="s">
        <v>149</v>
      </c>
      <c r="Z22" t="s">
        <v>150</v>
      </c>
    </row>
    <row r="23" spans="1:26" x14ac:dyDescent="0.35">
      <c r="A23" t="str">
        <f>"GA-"&amp;TEXT(2000+ROW()-2,"0000")</f>
        <v>GA-2021</v>
      </c>
      <c r="B23" s="1">
        <f ca="1">DATE(2026,1,1)+RANDBETWEEN(0,119)</f>
        <v>46130</v>
      </c>
      <c r="C23" t="str" cm="1">
        <f t="array" aca="1" ref="C23" ca="1">INDEX($V$2:$V$31,RANDBETWEEN(1,30))</f>
        <v>Servicios bancarios y comisiones</v>
      </c>
      <c r="D23" t="str" cm="1">
        <f t="array" aca="1" ref="D23" ca="1">INDEX($Y$2:$Y$26,RANDBETWEEN(1,25))</f>
        <v>Agencia Digital Laureles S.A.S.</v>
      </c>
      <c r="E23" t="str">
        <f ca="1">INDEX($Z$2:$Z$26,MATCH(D23,$Y$2:$Y$26,0))</f>
        <v>901567890-1</v>
      </c>
      <c r="F23" t="str">
        <f ca="1">INDEX($W$2:$W$31,MATCH(C23,$V$2:$V$31,0))</f>
        <v>Financieros</v>
      </c>
      <c r="G23" t="str" cm="1">
        <f t="array" aca="1" ref="G23" ca="1">INDEX($AB$2:$AB$6,RANDBETWEEN(1,5))</f>
        <v>Administración</v>
      </c>
      <c r="H23" s="2">
        <f ca="1">ROUND(RANDBETWEEN(150000,8500000),-2)</f>
        <v>302500</v>
      </c>
      <c r="I23" s="3">
        <f ca="1">IF(OR(F23="Servicios Públicos",F23="Financieros",F23="Legales",F23="Seguros"),0,0.19)</f>
        <v>0</v>
      </c>
      <c r="J23" s="2">
        <f ca="1">ROUND(H23*I23,0)</f>
        <v>0</v>
      </c>
      <c r="K23" s="2">
        <f ca="1">H23+J23</f>
        <v>302500</v>
      </c>
      <c r="L23" s="15">
        <f ca="1">INDEX($X$2:$X$31,MATCH(C23,$V$2:$V$31,0))</f>
        <v>0</v>
      </c>
      <c r="M23" s="2">
        <f ca="1">ROUND(H23*L23,0)</f>
        <v>0</v>
      </c>
      <c r="N23" s="3">
        <f ca="1">IF(I23=0,0,0.15)</f>
        <v>0</v>
      </c>
      <c r="O23" s="2">
        <f ca="1">ROUND(J23*N23,0)</f>
        <v>0</v>
      </c>
      <c r="P23" s="4">
        <f>0.01104</f>
        <v>1.1039999999999999E-2</v>
      </c>
      <c r="Q23" s="2">
        <f ca="1">ROUND(H23*P23,0)</f>
        <v>3340</v>
      </c>
      <c r="R23" s="2">
        <f ca="1">K23-M23-O23-Q23</f>
        <v>299160</v>
      </c>
      <c r="S23" t="str">
        <f ca="1">CHOOSE(RANDBETWEEN(1,3),"Transferencia","Efectivo","Tarjeta crédito")</f>
        <v>Transferencia</v>
      </c>
      <c r="T23" t="str">
        <f ca="1">IF(RANDBETWEEN(1,10)&lt;=8,"Pagado","Pendiente")</f>
        <v>Pendiente</v>
      </c>
      <c r="V23" t="s">
        <v>93</v>
      </c>
      <c r="W23" t="s">
        <v>91</v>
      </c>
      <c r="X23">
        <v>0</v>
      </c>
      <c r="Y23" t="s">
        <v>151</v>
      </c>
      <c r="Z23" t="s">
        <v>152</v>
      </c>
    </row>
    <row r="24" spans="1:26" x14ac:dyDescent="0.35">
      <c r="A24" t="str">
        <f>"GA-"&amp;TEXT(2000+ROW()-2,"0000")</f>
        <v>GA-2022</v>
      </c>
      <c r="B24" s="1">
        <f ca="1">DATE(2026,1,1)+RANDBETWEEN(0,119)</f>
        <v>46111</v>
      </c>
      <c r="C24" t="str" cm="1">
        <f t="array" aca="1" ref="C24" ca="1">INDEX($V$2:$V$31,RANDBETWEEN(1,30))</f>
        <v>Arrendamiento local comercial</v>
      </c>
      <c r="D24" t="str" cm="1">
        <f t="array" aca="1" ref="D24" ca="1">INDEX($Y$2:$Y$26,RANDBETWEEN(1,25))</f>
        <v>Bancolombia S.A.</v>
      </c>
      <c r="E24" t="str">
        <f ca="1">INDEX($Z$2:$Z$26,MATCH(D24,$Y$2:$Y$26,0))</f>
        <v>890903938-8</v>
      </c>
      <c r="F24" t="str">
        <f ca="1">INDEX($W$2:$W$31,MATCH(C24,$V$2:$V$31,0))</f>
        <v>Arrendamientos</v>
      </c>
      <c r="G24" t="str" cm="1">
        <f t="array" aca="1" ref="G24" ca="1">INDEX($AB$2:$AB$6,RANDBETWEEN(1,5))</f>
        <v>Gerencia</v>
      </c>
      <c r="H24" s="2">
        <f ca="1">ROUND(RANDBETWEEN(150000,8500000),-2)</f>
        <v>2770600</v>
      </c>
      <c r="I24" s="3">
        <f ca="1">IF(OR(F24="Servicios Públicos",F24="Financieros",F24="Legales",F24="Seguros"),0,0.19)</f>
        <v>0.19</v>
      </c>
      <c r="J24" s="2">
        <f ca="1">ROUND(H24*I24,0)</f>
        <v>526414</v>
      </c>
      <c r="K24" s="2">
        <f ca="1">H24+J24</f>
        <v>3297014</v>
      </c>
      <c r="L24" s="15">
        <f ca="1">INDEX($X$2:$X$31,MATCH(C24,$V$2:$V$31,0))</f>
        <v>3.5000000000000003E-2</v>
      </c>
      <c r="M24" s="2">
        <f ca="1">ROUND(H24*L24,0)</f>
        <v>96971</v>
      </c>
      <c r="N24" s="3">
        <f ca="1">IF(I24=0,0,0.15)</f>
        <v>0.15</v>
      </c>
      <c r="O24" s="2">
        <f ca="1">ROUND(J24*N24,0)</f>
        <v>78962</v>
      </c>
      <c r="P24" s="4">
        <f>0.01104</f>
        <v>1.1039999999999999E-2</v>
      </c>
      <c r="Q24" s="2">
        <f ca="1">ROUND(H24*P24,0)</f>
        <v>30587</v>
      </c>
      <c r="R24" s="2">
        <f ca="1">K24-M24-O24-Q24</f>
        <v>3090494</v>
      </c>
      <c r="S24" t="str">
        <f ca="1">CHOOSE(RANDBETWEEN(1,3),"Transferencia","Efectivo","Tarjeta crédito")</f>
        <v>Transferencia</v>
      </c>
      <c r="T24" t="str">
        <f ca="1">IF(RANDBETWEEN(1,10)&lt;=8,"Pagado","Pendiente")</f>
        <v>Pagado</v>
      </c>
      <c r="V24" t="s">
        <v>94</v>
      </c>
      <c r="W24" t="s">
        <v>95</v>
      </c>
      <c r="X24">
        <v>2.5000000000000001E-2</v>
      </c>
      <c r="Y24" t="s">
        <v>153</v>
      </c>
      <c r="Z24" t="s">
        <v>154</v>
      </c>
    </row>
    <row r="25" spans="1:26" x14ac:dyDescent="0.35">
      <c r="A25" t="str">
        <f>"GA-"&amp;TEXT(2000+ROW()-2,"0000")</f>
        <v>GA-2023</v>
      </c>
      <c r="B25" s="1">
        <f ca="1">DATE(2026,1,1)+RANDBETWEEN(0,119)</f>
        <v>46054</v>
      </c>
      <c r="C25" t="str" cm="1">
        <f t="array" aca="1" ref="C25" ca="1">INDEX($V$2:$V$31,RANDBETWEEN(1,30))</f>
        <v>Software contable - licencia mensual</v>
      </c>
      <c r="D25" t="str" cm="1">
        <f t="array" aca="1" ref="D25" ca="1">INDEX($Y$2:$Y$26,RANDBETWEEN(1,25))</f>
        <v>Constructora Mantenimientos Bello</v>
      </c>
      <c r="E25" t="str">
        <f ca="1">INDEX($Z$2:$Z$26,MATCH(D25,$Y$2:$Y$26,0))</f>
        <v>900789012-7</v>
      </c>
      <c r="F25" t="str">
        <f ca="1">INDEX($W$2:$W$31,MATCH(C25,$V$2:$V$31,0))</f>
        <v>Tecnología</v>
      </c>
      <c r="G25" t="str" cm="1">
        <f t="array" aca="1" ref="G25" ca="1">INDEX($AB$2:$AB$6,RANDBETWEEN(1,5))</f>
        <v>Bodega</v>
      </c>
      <c r="H25" s="2">
        <f ca="1">ROUND(RANDBETWEEN(150000,8500000),-2)</f>
        <v>4575500</v>
      </c>
      <c r="I25" s="3">
        <f ca="1">IF(OR(F25="Servicios Públicos",F25="Financieros",F25="Legales",F25="Seguros"),0,0.19)</f>
        <v>0.19</v>
      </c>
      <c r="J25" s="2">
        <f ca="1">ROUND(H25*I25,0)</f>
        <v>869345</v>
      </c>
      <c r="K25" s="2">
        <f ca="1">H25+J25</f>
        <v>5444845</v>
      </c>
      <c r="L25" s="15">
        <f ca="1">INDEX($X$2:$X$31,MATCH(C25,$V$2:$V$31,0))</f>
        <v>3.5000000000000003E-2</v>
      </c>
      <c r="M25" s="2">
        <f ca="1">ROUND(H25*L25,0)</f>
        <v>160143</v>
      </c>
      <c r="N25" s="3">
        <f ca="1">IF(I25=0,0,0.15)</f>
        <v>0.15</v>
      </c>
      <c r="O25" s="2">
        <f ca="1">ROUND(J25*N25,0)</f>
        <v>130402</v>
      </c>
      <c r="P25" s="4">
        <f>0.01104</f>
        <v>1.1039999999999999E-2</v>
      </c>
      <c r="Q25" s="2">
        <f ca="1">ROUND(H25*P25,0)</f>
        <v>50514</v>
      </c>
      <c r="R25" s="2">
        <f ca="1">K25-M25-O25-Q25</f>
        <v>5103786</v>
      </c>
      <c r="S25" t="str">
        <f ca="1">CHOOSE(RANDBETWEEN(1,3),"Transferencia","Efectivo","Tarjeta crédito")</f>
        <v>Transferencia</v>
      </c>
      <c r="T25" t="str">
        <f ca="1">IF(RANDBETWEEN(1,10)&lt;=8,"Pagado","Pendiente")</f>
        <v>Pagado</v>
      </c>
      <c r="V25" t="s">
        <v>96</v>
      </c>
      <c r="W25" t="s">
        <v>95</v>
      </c>
      <c r="X25">
        <v>2.5000000000000001E-2</v>
      </c>
      <c r="Y25" t="s">
        <v>155</v>
      </c>
      <c r="Z25" t="s">
        <v>156</v>
      </c>
    </row>
    <row r="26" spans="1:26" x14ac:dyDescent="0.35">
      <c r="A26" t="str">
        <f>"GA-"&amp;TEXT(2000+ROW()-2,"0000")</f>
        <v>GA-2024</v>
      </c>
      <c r="B26" s="1">
        <f ca="1">DATE(2026,1,1)+RANDBETWEEN(0,119)</f>
        <v>46081</v>
      </c>
      <c r="C26" t="str" cm="1">
        <f t="array" aca="1" ref="C26" ca="1">INDEX($V$2:$V$31,RANDBETWEEN(1,30))</f>
        <v>Honorarios contables</v>
      </c>
      <c r="D26" t="str" cm="1">
        <f t="array" aca="1" ref="D26" ca="1">INDEX($Y$2:$Y$26,RANDBETWEEN(1,25))</f>
        <v>Inmobiliaria El Poblado S.A.S.</v>
      </c>
      <c r="E26" t="str">
        <f ca="1">INDEX($Z$2:$Z$26,MATCH(D26,$Y$2:$Y$26,0))</f>
        <v>900456789-1</v>
      </c>
      <c r="F26" t="str">
        <f ca="1">INDEX($W$2:$W$31,MATCH(C26,$V$2:$V$31,0))</f>
        <v>Honorarios</v>
      </c>
      <c r="G26" t="str" cm="1">
        <f t="array" aca="1" ref="G26" ca="1">INDEX($AB$2:$AB$6,RANDBETWEEN(1,5))</f>
        <v>Ventas</v>
      </c>
      <c r="H26" s="2">
        <f ca="1">ROUND(RANDBETWEEN(150000,8500000),-2)</f>
        <v>3909100</v>
      </c>
      <c r="I26" s="3">
        <f ca="1">IF(OR(F26="Servicios Públicos",F26="Financieros",F26="Legales",F26="Seguros"),0,0.19)</f>
        <v>0.19</v>
      </c>
      <c r="J26" s="2">
        <f ca="1">ROUND(H26*I26,0)</f>
        <v>742729</v>
      </c>
      <c r="K26" s="2">
        <f ca="1">H26+J26</f>
        <v>4651829</v>
      </c>
      <c r="L26" s="15">
        <f ca="1">INDEX($X$2:$X$31,MATCH(C26,$V$2:$V$31,0))</f>
        <v>0.11</v>
      </c>
      <c r="M26" s="2">
        <f ca="1">ROUND(H26*L26,0)</f>
        <v>430001</v>
      </c>
      <c r="N26" s="3">
        <f ca="1">IF(I26=0,0,0.15)</f>
        <v>0.15</v>
      </c>
      <c r="O26" s="2">
        <f ca="1">ROUND(J26*N26,0)</f>
        <v>111409</v>
      </c>
      <c r="P26" s="4">
        <f>0.01104</f>
        <v>1.1039999999999999E-2</v>
      </c>
      <c r="Q26" s="2">
        <f ca="1">ROUND(H26*P26,0)</f>
        <v>43156</v>
      </c>
      <c r="R26" s="2">
        <f ca="1">K26-M26-O26-Q26</f>
        <v>4067263</v>
      </c>
      <c r="S26" t="str">
        <f ca="1">CHOOSE(RANDBETWEEN(1,3),"Transferencia","Efectivo","Tarjeta crédito")</f>
        <v>Efectivo</v>
      </c>
      <c r="T26" t="str">
        <f ca="1">IF(RANDBETWEEN(1,10)&lt;=8,"Pagado","Pendiente")</f>
        <v>Pagado</v>
      </c>
      <c r="V26" t="s">
        <v>97</v>
      </c>
      <c r="W26" t="s">
        <v>74</v>
      </c>
      <c r="X26">
        <v>0.04</v>
      </c>
      <c r="Y26" t="s">
        <v>157</v>
      </c>
      <c r="Z26" t="s">
        <v>158</v>
      </c>
    </row>
    <row r="27" spans="1:26" x14ac:dyDescent="0.35">
      <c r="A27" t="str">
        <f>"GA-"&amp;TEXT(2000+ROW()-2,"0000")</f>
        <v>GA-2025</v>
      </c>
      <c r="B27" s="1">
        <f ca="1">DATE(2026,1,1)+RANDBETWEEN(0,119)</f>
        <v>46130</v>
      </c>
      <c r="C27" t="str" cm="1">
        <f t="array" aca="1" ref="C27" ca="1">INDEX($V$2:$V$31,RANDBETWEEN(1,30))</f>
        <v>Servicio de fumigación local</v>
      </c>
      <c r="D27" t="str" cm="1">
        <f t="array" aca="1" ref="D27" ca="1">INDEX($Y$2:$Y$26,RANDBETWEEN(1,25))</f>
        <v>Vigilancia Andina Seguridad Ltda.</v>
      </c>
      <c r="E27" t="str">
        <f ca="1">INDEX($Z$2:$Z$26,MATCH(D27,$Y$2:$Y$26,0))</f>
        <v>800678901-5</v>
      </c>
      <c r="F27" t="str">
        <f ca="1">INDEX($W$2:$W$31,MATCH(C27,$V$2:$V$31,0))</f>
        <v>Mantenimiento</v>
      </c>
      <c r="G27" t="str" cm="1">
        <f t="array" aca="1" ref="G27" ca="1">INDEX($AB$2:$AB$6,RANDBETWEEN(1,5))</f>
        <v>Bodega</v>
      </c>
      <c r="H27" s="2">
        <f ca="1">ROUND(RANDBETWEEN(150000,8500000),-2)</f>
        <v>5597700</v>
      </c>
      <c r="I27" s="3">
        <f ca="1">IF(OR(F27="Servicios Públicos",F27="Financieros",F27="Legales",F27="Seguros"),0,0.19)</f>
        <v>0.19</v>
      </c>
      <c r="J27" s="2">
        <f ca="1">ROUND(H27*I27,0)</f>
        <v>1063563</v>
      </c>
      <c r="K27" s="2">
        <f ca="1">H27+J27</f>
        <v>6661263</v>
      </c>
      <c r="L27" s="15">
        <f ca="1">INDEX($X$2:$X$31,MATCH(C27,$V$2:$V$31,0))</f>
        <v>0.04</v>
      </c>
      <c r="M27" s="2">
        <f ca="1">ROUND(H27*L27,0)</f>
        <v>223908</v>
      </c>
      <c r="N27" s="3">
        <f ca="1">IF(I27=0,0,0.15)</f>
        <v>0.15</v>
      </c>
      <c r="O27" s="2">
        <f ca="1">ROUND(J27*N27,0)</f>
        <v>159534</v>
      </c>
      <c r="P27" s="4">
        <f>0.01104</f>
        <v>1.1039999999999999E-2</v>
      </c>
      <c r="Q27" s="2">
        <f ca="1">ROUND(H27*P27,0)</f>
        <v>61799</v>
      </c>
      <c r="R27" s="2">
        <f ca="1">K27-M27-O27-Q27</f>
        <v>6216022</v>
      </c>
      <c r="S27" t="str">
        <f ca="1">CHOOSE(RANDBETWEEN(1,3),"Transferencia","Efectivo","Tarjeta crédito")</f>
        <v>Tarjeta crédito</v>
      </c>
      <c r="T27" t="str">
        <f ca="1">IF(RANDBETWEEN(1,10)&lt;=8,"Pagado","Pendiente")</f>
        <v>Pagado</v>
      </c>
      <c r="V27" t="s">
        <v>98</v>
      </c>
      <c r="W27" t="s">
        <v>99</v>
      </c>
      <c r="X27">
        <v>2.4E-2</v>
      </c>
    </row>
    <row r="28" spans="1:26" x14ac:dyDescent="0.35">
      <c r="A28" t="str">
        <f>"GA-"&amp;TEXT(2000+ROW()-2,"0000")</f>
        <v>GA-2026</v>
      </c>
      <c r="B28" s="1">
        <f ca="1">DATE(2026,1,1)+RANDBETWEEN(0,119)</f>
        <v>46132</v>
      </c>
      <c r="C28" t="str" cm="1">
        <f t="array" aca="1" ref="C28" ca="1">INDEX($V$2:$V$31,RANDBETWEEN(1,30))</f>
        <v>Servicio de internet y telefonía</v>
      </c>
      <c r="D28" t="str" cm="1">
        <f t="array" aca="1" ref="D28" ca="1">INDEX($Y$2:$Y$26,RANDBETWEEN(1,25))</f>
        <v>Centro de Capacitación SST Antioquia</v>
      </c>
      <c r="E28" t="str">
        <f ca="1">INDEX($Z$2:$Z$26,MATCH(D28,$Y$2:$Y$26,0))</f>
        <v>901678901-3</v>
      </c>
      <c r="F28" t="str">
        <f ca="1">INDEX($W$2:$W$31,MATCH(C28,$V$2:$V$31,0))</f>
        <v>Servicios Públicos</v>
      </c>
      <c r="G28" t="str" cm="1">
        <f t="array" aca="1" ref="G28" ca="1">INDEX($AB$2:$AB$6,RANDBETWEEN(1,5))</f>
        <v>Ventas</v>
      </c>
      <c r="H28" s="2">
        <f ca="1">ROUND(RANDBETWEEN(150000,8500000),-2)</f>
        <v>7968800</v>
      </c>
      <c r="I28" s="3">
        <f ca="1">IF(OR(F28="Servicios Públicos",F28="Financieros",F28="Legales",F28="Seguros"),0,0.19)</f>
        <v>0</v>
      </c>
      <c r="J28" s="2">
        <f ca="1">ROUND(H28*I28,0)</f>
        <v>0</v>
      </c>
      <c r="K28" s="2">
        <f ca="1">H28+J28</f>
        <v>7968800</v>
      </c>
      <c r="L28" s="15">
        <f ca="1">INDEX($X$2:$X$31,MATCH(C28,$V$2:$V$31,0))</f>
        <v>0.04</v>
      </c>
      <c r="M28" s="2">
        <f ca="1">ROUND(H28*L28,0)</f>
        <v>318752</v>
      </c>
      <c r="N28" s="3">
        <f ca="1">IF(I28=0,0,0.15)</f>
        <v>0</v>
      </c>
      <c r="O28" s="2">
        <f ca="1">ROUND(J28*N28,0)</f>
        <v>0</v>
      </c>
      <c r="P28" s="4">
        <f>0.01104</f>
        <v>1.1039999999999999E-2</v>
      </c>
      <c r="Q28" s="2">
        <f ca="1">ROUND(H28*P28,0)</f>
        <v>87976</v>
      </c>
      <c r="R28" s="2">
        <f ca="1">K28-M28-O28-Q28</f>
        <v>7562072</v>
      </c>
      <c r="S28" t="str">
        <f ca="1">CHOOSE(RANDBETWEEN(1,3),"Transferencia","Efectivo","Tarjeta crédito")</f>
        <v>Efectivo</v>
      </c>
      <c r="T28" t="str">
        <f ca="1">IF(RANDBETWEEN(1,10)&lt;=8,"Pagado","Pendiente")</f>
        <v>Pagado</v>
      </c>
      <c r="V28" t="s">
        <v>100</v>
      </c>
      <c r="W28" t="s">
        <v>101</v>
      </c>
      <c r="X28">
        <v>0</v>
      </c>
    </row>
    <row r="29" spans="1:26" x14ac:dyDescent="0.35">
      <c r="A29" t="str">
        <f>"GA-"&amp;TEXT(2000+ROW()-2,"0000")</f>
        <v>GA-2027</v>
      </c>
      <c r="B29" s="1">
        <f ca="1">DATE(2026,1,1)+RANDBETWEEN(0,119)</f>
        <v>46038</v>
      </c>
      <c r="C29" t="str" cm="1">
        <f t="array" aca="1" ref="C29" ca="1">INDEX($V$2:$V$31,RANDBETWEEN(1,30))</f>
        <v>Tóner y suministros de impresora</v>
      </c>
      <c r="D29" t="str" cm="1">
        <f t="array" aca="1" ref="D29" ca="1">INDEX($Y$2:$Y$26,RANDBETWEEN(1,25))</f>
        <v>Papelería La Candelaria S.A.S.</v>
      </c>
      <c r="E29" t="str">
        <f ca="1">INDEX($Z$2:$Z$26,MATCH(D29,$Y$2:$Y$26,0))</f>
        <v>890567123-8</v>
      </c>
      <c r="F29" t="str">
        <f ca="1">INDEX($W$2:$W$31,MATCH(C29,$V$2:$V$31,0))</f>
        <v>Suministros</v>
      </c>
      <c r="G29" t="str" cm="1">
        <f t="array" aca="1" ref="G29" ca="1">INDEX($AB$2:$AB$6,RANDBETWEEN(1,5))</f>
        <v>Gerencia</v>
      </c>
      <c r="H29" s="2">
        <f ca="1">ROUND(RANDBETWEEN(150000,8500000),-2)</f>
        <v>1117200</v>
      </c>
      <c r="I29" s="3">
        <f ca="1">IF(OR(F29="Servicios Públicos",F29="Financieros",F29="Legales",F29="Seguros"),0,0.19)</f>
        <v>0.19</v>
      </c>
      <c r="J29" s="2">
        <f ca="1">ROUND(H29*I29,0)</f>
        <v>212268</v>
      </c>
      <c r="K29" s="2">
        <f ca="1">H29+J29</f>
        <v>1329468</v>
      </c>
      <c r="L29" s="15">
        <f ca="1">INDEX($X$2:$X$31,MATCH(C29,$V$2:$V$31,0))</f>
        <v>2.5000000000000001E-2</v>
      </c>
      <c r="M29" s="2">
        <f ca="1">ROUND(H29*L29,0)</f>
        <v>27930</v>
      </c>
      <c r="N29" s="3">
        <f ca="1">IF(I29=0,0,0.15)</f>
        <v>0.15</v>
      </c>
      <c r="O29" s="2">
        <f ca="1">ROUND(J29*N29,0)</f>
        <v>31840</v>
      </c>
      <c r="P29" s="4">
        <f>0.01104</f>
        <v>1.1039999999999999E-2</v>
      </c>
      <c r="Q29" s="2">
        <f ca="1">ROUND(H29*P29,0)</f>
        <v>12334</v>
      </c>
      <c r="R29" s="2">
        <f ca="1">K29-M29-O29-Q29</f>
        <v>1257364</v>
      </c>
      <c r="S29" t="str">
        <f ca="1">CHOOSE(RANDBETWEEN(1,3),"Transferencia","Efectivo","Tarjeta crédito")</f>
        <v>Tarjeta crédito</v>
      </c>
      <c r="T29" t="str">
        <f ca="1">IF(RANDBETWEEN(1,10)&lt;=8,"Pagado","Pendiente")</f>
        <v>Pagado</v>
      </c>
      <c r="V29" t="s">
        <v>102</v>
      </c>
      <c r="W29" t="s">
        <v>103</v>
      </c>
      <c r="X29">
        <v>0</v>
      </c>
    </row>
    <row r="30" spans="1:26" x14ac:dyDescent="0.35">
      <c r="A30" t="str">
        <f>"GA-"&amp;TEXT(2000+ROW()-2,"0000")</f>
        <v>GA-2028</v>
      </c>
      <c r="B30" s="1">
        <f ca="1">DATE(2026,1,1)+RANDBETWEEN(0,119)</f>
        <v>46058</v>
      </c>
      <c r="C30" t="str" cm="1">
        <f t="array" aca="1" ref="C30" ca="1">INDEX($V$2:$V$31,RANDBETWEEN(1,30))</f>
        <v>Elementos de protección personal</v>
      </c>
      <c r="D30" t="str" cm="1">
        <f t="array" aca="1" ref="D30" ca="1">INDEX($Y$2:$Y$26,RANDBETWEEN(1,25))</f>
        <v>Centro de Capacitación SST Antioquia</v>
      </c>
      <c r="E30" t="str">
        <f ca="1">INDEX($Z$2:$Z$26,MATCH(D30,$Y$2:$Y$26,0))</f>
        <v>901678901-3</v>
      </c>
      <c r="F30" t="str">
        <f ca="1">INDEX($W$2:$W$31,MATCH(C30,$V$2:$V$31,0))</f>
        <v>Personal</v>
      </c>
      <c r="G30" t="str" cm="1">
        <f t="array" aca="1" ref="G30" ca="1">INDEX($AB$2:$AB$6,RANDBETWEEN(1,5))</f>
        <v>Logística</v>
      </c>
      <c r="H30" s="2">
        <f ca="1">ROUND(RANDBETWEEN(150000,8500000),-2)</f>
        <v>3425400</v>
      </c>
      <c r="I30" s="3">
        <f ca="1">IF(OR(F30="Servicios Públicos",F30="Financieros",F30="Legales",F30="Seguros"),0,0.19)</f>
        <v>0.19</v>
      </c>
      <c r="J30" s="2">
        <f ca="1">ROUND(H30*I30,0)</f>
        <v>650826</v>
      </c>
      <c r="K30" s="2">
        <f ca="1">H30+J30</f>
        <v>4076226</v>
      </c>
      <c r="L30" s="15">
        <f ca="1">INDEX($X$2:$X$31,MATCH(C30,$V$2:$V$31,0))</f>
        <v>2.5000000000000001E-2</v>
      </c>
      <c r="M30" s="2">
        <f ca="1">ROUND(H30*L30,0)</f>
        <v>85635</v>
      </c>
      <c r="N30" s="3">
        <f ca="1">IF(I30=0,0,0.15)</f>
        <v>0.15</v>
      </c>
      <c r="O30" s="2">
        <f ca="1">ROUND(J30*N30,0)</f>
        <v>97624</v>
      </c>
      <c r="P30" s="4">
        <f>0.01104</f>
        <v>1.1039999999999999E-2</v>
      </c>
      <c r="Q30" s="2">
        <f ca="1">ROUND(H30*P30,0)</f>
        <v>37816</v>
      </c>
      <c r="R30" s="2">
        <f ca="1">K30-M30-O30-Q30</f>
        <v>3855151</v>
      </c>
      <c r="S30" t="str">
        <f ca="1">CHOOSE(RANDBETWEEN(1,3),"Transferencia","Efectivo","Tarjeta crédito")</f>
        <v>Transferencia</v>
      </c>
      <c r="T30" t="str">
        <f ca="1">IF(RANDBETWEEN(1,10)&lt;=8,"Pagado","Pendiente")</f>
        <v>Pagado</v>
      </c>
      <c r="V30" t="s">
        <v>104</v>
      </c>
      <c r="W30" t="s">
        <v>80</v>
      </c>
      <c r="X30">
        <v>2.5000000000000001E-2</v>
      </c>
    </row>
    <row r="31" spans="1:26" x14ac:dyDescent="0.35">
      <c r="A31" t="str">
        <f>"GA-"&amp;TEXT(2000+ROW()-2,"0000")</f>
        <v>GA-2029</v>
      </c>
      <c r="B31" s="1">
        <f ca="1">DATE(2026,1,1)+RANDBETWEEN(0,119)</f>
        <v>46107</v>
      </c>
      <c r="C31" t="str" cm="1">
        <f t="array" aca="1" ref="C31" ca="1">INDEX($V$2:$V$31,RANDBETWEEN(1,30))</f>
        <v>Mantenimiento locativo del local</v>
      </c>
      <c r="D31" t="str" cm="1">
        <f t="array" aca="1" ref="D31" ca="1">INDEX($Y$2:$Y$26,RANDBETWEEN(1,25))</f>
        <v>Tigo UNE Telecomunicaciones S.A.</v>
      </c>
      <c r="E31" t="str">
        <f ca="1">INDEX($Z$2:$Z$26,MATCH(D31,$Y$2:$Y$26,0))</f>
        <v>830122566-1</v>
      </c>
      <c r="F31" t="str">
        <f ca="1">INDEX($W$2:$W$31,MATCH(C31,$V$2:$V$31,0))</f>
        <v>Mantenimiento</v>
      </c>
      <c r="G31" t="str" cm="1">
        <f t="array" aca="1" ref="G31" ca="1">INDEX($AB$2:$AB$6,RANDBETWEEN(1,5))</f>
        <v>Ventas</v>
      </c>
      <c r="H31" s="2">
        <f ca="1">ROUND(RANDBETWEEN(150000,8500000),-2)</f>
        <v>839300</v>
      </c>
      <c r="I31" s="3">
        <f ca="1">IF(OR(F31="Servicios Públicos",F31="Financieros",F31="Legales",F31="Seguros"),0,0.19)</f>
        <v>0.19</v>
      </c>
      <c r="J31" s="2">
        <f ca="1">ROUND(H31*I31,0)</f>
        <v>159467</v>
      </c>
      <c r="K31" s="2">
        <f ca="1">H31+J31</f>
        <v>998767</v>
      </c>
      <c r="L31" s="15">
        <f ca="1">INDEX($X$2:$X$31,MATCH(C31,$V$2:$V$31,0))</f>
        <v>0.02</v>
      </c>
      <c r="M31" s="2">
        <f ca="1">ROUND(H31*L31,0)</f>
        <v>16786</v>
      </c>
      <c r="N31" s="3">
        <f ca="1">IF(I31=0,0,0.15)</f>
        <v>0.15</v>
      </c>
      <c r="O31" s="2">
        <f ca="1">ROUND(J31*N31,0)</f>
        <v>23920</v>
      </c>
      <c r="P31" s="4">
        <f>0.01104</f>
        <v>1.1039999999999999E-2</v>
      </c>
      <c r="Q31" s="2">
        <f ca="1">ROUND(H31*P31,0)</f>
        <v>9266</v>
      </c>
      <c r="R31" s="2">
        <f ca="1">K31-M31-O31-Q31</f>
        <v>948795</v>
      </c>
      <c r="S31" t="str">
        <f ca="1">CHOOSE(RANDBETWEEN(1,3),"Transferencia","Efectivo","Tarjeta crédito")</f>
        <v>Transferencia</v>
      </c>
      <c r="T31" t="str">
        <f ca="1">IF(RANDBETWEEN(1,10)&lt;=8,"Pagado","Pendiente")</f>
        <v>Pagado</v>
      </c>
      <c r="V31" t="s">
        <v>105</v>
      </c>
      <c r="W31" t="s">
        <v>77</v>
      </c>
      <c r="X31">
        <v>0.04</v>
      </c>
    </row>
    <row r="32" spans="1:26" x14ac:dyDescent="0.35">
      <c r="A32" t="str">
        <f>"GA-"&amp;TEXT(2000+ROW()-2,"0000")</f>
        <v>GA-2030</v>
      </c>
      <c r="B32" s="1">
        <f ca="1">DATE(2026,1,1)+RANDBETWEEN(0,119)</f>
        <v>46025</v>
      </c>
      <c r="C32" t="str" cm="1">
        <f t="array" aca="1" ref="C32" ca="1">INDEX($V$2:$V$31,RANDBETWEEN(1,30))</f>
        <v>Café, agua y refrigerios oficina</v>
      </c>
      <c r="D32" t="str" cm="1">
        <f t="array" aca="1" ref="D32" ca="1">INDEX($Y$2:$Y$26,RANDBETWEEN(1,25))</f>
        <v>Tigo UNE Telecomunicaciones S.A.</v>
      </c>
      <c r="E32" t="str">
        <f ca="1">INDEX($Z$2:$Z$26,MATCH(D32,$Y$2:$Y$26,0))</f>
        <v>830122566-1</v>
      </c>
      <c r="F32" t="str">
        <f ca="1">INDEX($W$2:$W$31,MATCH(C32,$V$2:$V$31,0))</f>
        <v>Suministros</v>
      </c>
      <c r="G32" t="str" cm="1">
        <f t="array" aca="1" ref="G32" ca="1">INDEX($AB$2:$AB$6,RANDBETWEEN(1,5))</f>
        <v>Administración</v>
      </c>
      <c r="H32" s="2">
        <f ca="1">ROUND(RANDBETWEEN(150000,8500000),-2)</f>
        <v>7582000</v>
      </c>
      <c r="I32" s="3">
        <f ca="1">IF(OR(F32="Servicios Públicos",F32="Financieros",F32="Legales",F32="Seguros"),0,0.19)</f>
        <v>0.19</v>
      </c>
      <c r="J32" s="2">
        <f ca="1">ROUND(H32*I32,0)</f>
        <v>1440580</v>
      </c>
      <c r="K32" s="2">
        <f ca="1">H32+J32</f>
        <v>9022580</v>
      </c>
      <c r="L32" s="15">
        <f ca="1">INDEX($X$2:$X$31,MATCH(C32,$V$2:$V$31,0))</f>
        <v>2.5000000000000001E-2</v>
      </c>
      <c r="M32" s="2">
        <f ca="1">ROUND(H32*L32,0)</f>
        <v>189550</v>
      </c>
      <c r="N32" s="3">
        <f ca="1">IF(I32=0,0,0.15)</f>
        <v>0.15</v>
      </c>
      <c r="O32" s="2">
        <f ca="1">ROUND(J32*N32,0)</f>
        <v>216087</v>
      </c>
      <c r="P32" s="4">
        <f>0.01104</f>
        <v>1.1039999999999999E-2</v>
      </c>
      <c r="Q32" s="2">
        <f ca="1">ROUND(H32*P32,0)</f>
        <v>83705</v>
      </c>
      <c r="R32" s="2">
        <f ca="1">K32-M32-O32-Q32</f>
        <v>8533238</v>
      </c>
      <c r="S32" t="str">
        <f ca="1">CHOOSE(RANDBETWEEN(1,3),"Transferencia","Efectivo","Tarjeta crédito")</f>
        <v>Efectivo</v>
      </c>
      <c r="T32" t="str">
        <f ca="1">IF(RANDBETWEEN(1,10)&lt;=8,"Pagado","Pendiente")</f>
        <v>Pagado</v>
      </c>
    </row>
    <row r="33" spans="1:20" x14ac:dyDescent="0.35">
      <c r="A33" t="str">
        <f>"GA-"&amp;TEXT(2000+ROW()-2,"0000")</f>
        <v>GA-2031</v>
      </c>
      <c r="B33" s="1">
        <f ca="1">DATE(2026,1,1)+RANDBETWEEN(0,119)</f>
        <v>46089</v>
      </c>
      <c r="C33" t="str" cm="1">
        <f t="array" aca="1" ref="C33" ca="1">INDEX($V$2:$V$31,RANDBETWEEN(1,30))</f>
        <v>Honorarios revisoría fiscal</v>
      </c>
      <c r="D33" t="str" cm="1">
        <f t="array" aca="1" ref="D33" ca="1">INDEX($Y$2:$Y$26,RANDBETWEEN(1,25))</f>
        <v>Software Contable Siigo S.A.</v>
      </c>
      <c r="E33" t="str">
        <f ca="1">INDEX($Z$2:$Z$26,MATCH(D33,$Y$2:$Y$26,0))</f>
        <v>830067335-9</v>
      </c>
      <c r="F33" t="str">
        <f ca="1">INDEX($W$2:$W$31,MATCH(C33,$V$2:$V$31,0))</f>
        <v>Honorarios</v>
      </c>
      <c r="G33" t="str" cm="1">
        <f t="array" aca="1" ref="G33" ca="1">INDEX($AB$2:$AB$6,RANDBETWEEN(1,5))</f>
        <v>Ventas</v>
      </c>
      <c r="H33" s="2">
        <f ca="1">ROUND(RANDBETWEEN(150000,8500000),-2)</f>
        <v>3980700</v>
      </c>
      <c r="I33" s="3">
        <f ca="1">IF(OR(F33="Servicios Públicos",F33="Financieros",F33="Legales",F33="Seguros"),0,0.19)</f>
        <v>0.19</v>
      </c>
      <c r="J33" s="2">
        <f ca="1">ROUND(H33*I33,0)</f>
        <v>756333</v>
      </c>
      <c r="K33" s="2">
        <f ca="1">H33+J33</f>
        <v>4737033</v>
      </c>
      <c r="L33" s="15">
        <f ca="1">INDEX($X$2:$X$31,MATCH(C33,$V$2:$V$31,0))</f>
        <v>0.11</v>
      </c>
      <c r="M33" s="2">
        <f ca="1">ROUND(H33*L33,0)</f>
        <v>437877</v>
      </c>
      <c r="N33" s="3">
        <f ca="1">IF(I33=0,0,0.15)</f>
        <v>0.15</v>
      </c>
      <c r="O33" s="2">
        <f ca="1">ROUND(J33*N33,0)</f>
        <v>113450</v>
      </c>
      <c r="P33" s="4">
        <f>0.01104</f>
        <v>1.1039999999999999E-2</v>
      </c>
      <c r="Q33" s="2">
        <f ca="1">ROUND(H33*P33,0)</f>
        <v>43947</v>
      </c>
      <c r="R33" s="2">
        <f ca="1">K33-M33-O33-Q33</f>
        <v>4141759</v>
      </c>
      <c r="S33" t="str">
        <f ca="1">CHOOSE(RANDBETWEEN(1,3),"Transferencia","Efectivo","Tarjeta crédito")</f>
        <v>Efectivo</v>
      </c>
      <c r="T33" t="str">
        <f ca="1">IF(RANDBETWEEN(1,10)&lt;=8,"Pagado","Pendiente")</f>
        <v>Pagado</v>
      </c>
    </row>
    <row r="34" spans="1:20" x14ac:dyDescent="0.35">
      <c r="A34" t="str">
        <f>"GA-"&amp;TEXT(2000+ROW()-2,"0000")</f>
        <v>GA-2032</v>
      </c>
      <c r="B34" s="1">
        <f ca="1">DATE(2026,1,1)+RANDBETWEEN(0,119)</f>
        <v>46106</v>
      </c>
      <c r="C34" t="str" cm="1">
        <f t="array" aca="1" ref="C34" ca="1">INDEX($V$2:$V$31,RANDBETWEEN(1,30))</f>
        <v>Mantenimiento locativo del local</v>
      </c>
      <c r="D34" t="str" cm="1">
        <f t="array" aca="1" ref="D34" ca="1">INDEX($Y$2:$Y$26,RANDBETWEEN(1,25))</f>
        <v>Contadores Asociados Antioquia S.A.S.</v>
      </c>
      <c r="E34" t="str">
        <f ca="1">INDEX($Z$2:$Z$26,MATCH(D34,$Y$2:$Y$26,0))</f>
        <v>901234567-2</v>
      </c>
      <c r="F34" t="str">
        <f ca="1">INDEX($W$2:$W$31,MATCH(C34,$V$2:$V$31,0))</f>
        <v>Mantenimiento</v>
      </c>
      <c r="G34" t="str" cm="1">
        <f t="array" aca="1" ref="G34" ca="1">INDEX($AB$2:$AB$6,RANDBETWEEN(1,5))</f>
        <v>Administración</v>
      </c>
      <c r="H34" s="2">
        <f ca="1">ROUND(RANDBETWEEN(150000,8500000),-2)</f>
        <v>6165000</v>
      </c>
      <c r="I34" s="3">
        <f ca="1">IF(OR(F34="Servicios Públicos",F34="Financieros",F34="Legales",F34="Seguros"),0,0.19)</f>
        <v>0.19</v>
      </c>
      <c r="J34" s="2">
        <f ca="1">ROUND(H34*I34,0)</f>
        <v>1171350</v>
      </c>
      <c r="K34" s="2">
        <f ca="1">H34+J34</f>
        <v>7336350</v>
      </c>
      <c r="L34" s="15">
        <f ca="1">INDEX($X$2:$X$31,MATCH(C34,$V$2:$V$31,0))</f>
        <v>0.02</v>
      </c>
      <c r="M34" s="2">
        <f ca="1">ROUND(H34*L34,0)</f>
        <v>123300</v>
      </c>
      <c r="N34" s="3">
        <f ca="1">IF(I34=0,0,0.15)</f>
        <v>0.15</v>
      </c>
      <c r="O34" s="2">
        <f ca="1">ROUND(J34*N34,0)</f>
        <v>175703</v>
      </c>
      <c r="P34" s="4">
        <f>0.01104</f>
        <v>1.1039999999999999E-2</v>
      </c>
      <c r="Q34" s="2">
        <f ca="1">ROUND(H34*P34,0)</f>
        <v>68062</v>
      </c>
      <c r="R34" s="2">
        <f ca="1">K34-M34-O34-Q34</f>
        <v>6969285</v>
      </c>
      <c r="S34" t="str">
        <f ca="1">CHOOSE(RANDBETWEEN(1,3),"Transferencia","Efectivo","Tarjeta crédito")</f>
        <v>Efectivo</v>
      </c>
      <c r="T34" t="str">
        <f ca="1">IF(RANDBETWEEN(1,10)&lt;=8,"Pagado","Pendiente")</f>
        <v>Pagado</v>
      </c>
    </row>
    <row r="35" spans="1:20" x14ac:dyDescent="0.35">
      <c r="A35" t="str">
        <f>"GA-"&amp;TEXT(2000+ROW()-2,"0000")</f>
        <v>GA-2033</v>
      </c>
      <c r="B35" s="1">
        <f ca="1">DATE(2026,1,1)+RANDBETWEEN(0,119)</f>
        <v>46026</v>
      </c>
      <c r="C35" t="str" cm="1">
        <f t="array" aca="1" ref="C35" ca="1">INDEX($V$2:$V$31,RANDBETWEEN(1,30))</f>
        <v>Peajes y parqueaderos</v>
      </c>
      <c r="D35" t="str" cm="1">
        <f t="array" aca="1" ref="D35" ca="1">INDEX($Y$2:$Y$26,RANDBETWEEN(1,25))</f>
        <v>Inmobiliaria El Poblado S.A.S.</v>
      </c>
      <c r="E35" t="str">
        <f ca="1">INDEX($Z$2:$Z$26,MATCH(D35,$Y$2:$Y$26,0))</f>
        <v>900456789-1</v>
      </c>
      <c r="F35" t="str">
        <f ca="1">INDEX($W$2:$W$31,MATCH(C35,$V$2:$V$31,0))</f>
        <v>Transporte</v>
      </c>
      <c r="G35" t="str" cm="1">
        <f t="array" aca="1" ref="G35" ca="1">INDEX($AB$2:$AB$6,RANDBETWEEN(1,5))</f>
        <v>Bodega</v>
      </c>
      <c r="H35" s="2">
        <f ca="1">ROUND(RANDBETWEEN(150000,8500000),-2)</f>
        <v>4429300</v>
      </c>
      <c r="I35" s="3">
        <f ca="1">IF(OR(F35="Servicios Públicos",F35="Financieros",F35="Legales",F35="Seguros"),0,0.19)</f>
        <v>0.19</v>
      </c>
      <c r="J35" s="2">
        <f ca="1">ROUND(H35*I35,0)</f>
        <v>841567</v>
      </c>
      <c r="K35" s="2">
        <f ca="1">H35+J35</f>
        <v>5270867</v>
      </c>
      <c r="L35" s="15">
        <f ca="1">INDEX($X$2:$X$31,MATCH(C35,$V$2:$V$31,0))</f>
        <v>0</v>
      </c>
      <c r="M35" s="2">
        <f ca="1">ROUND(H35*L35,0)</f>
        <v>0</v>
      </c>
      <c r="N35" s="3">
        <f ca="1">IF(I35=0,0,0.15)</f>
        <v>0.15</v>
      </c>
      <c r="O35" s="2">
        <f ca="1">ROUND(J35*N35,0)</f>
        <v>126235</v>
      </c>
      <c r="P35" s="4">
        <f>0.01104</f>
        <v>1.1039999999999999E-2</v>
      </c>
      <c r="Q35" s="2">
        <f ca="1">ROUND(H35*P35,0)</f>
        <v>48899</v>
      </c>
      <c r="R35" s="2">
        <f ca="1">K35-M35-O35-Q35</f>
        <v>5095733</v>
      </c>
      <c r="S35" t="str">
        <f ca="1">CHOOSE(RANDBETWEEN(1,3),"Transferencia","Efectivo","Tarjeta crédito")</f>
        <v>Transferencia</v>
      </c>
      <c r="T35" t="str">
        <f ca="1">IF(RANDBETWEEN(1,10)&lt;=8,"Pagado","Pendiente")</f>
        <v>Pagado</v>
      </c>
    </row>
    <row r="36" spans="1:20" x14ac:dyDescent="0.35">
      <c r="A36" t="str">
        <f>"GA-"&amp;TEXT(2000+ROW()-2,"0000")</f>
        <v>GA-2034</v>
      </c>
      <c r="B36" s="1">
        <f ca="1">DATE(2026,1,1)+RANDBETWEEN(0,119)</f>
        <v>46046</v>
      </c>
      <c r="C36" t="str" cm="1">
        <f t="array" aca="1" ref="C36" ca="1">INDEX($V$2:$V$31,RANDBETWEEN(1,30))</f>
        <v>Servicio de gas natural</v>
      </c>
      <c r="D36" t="str" cm="1">
        <f t="array" aca="1" ref="D36" ca="1">INDEX($Y$2:$Y$26,RANDBETWEEN(1,25))</f>
        <v>Contadores Asociados Antioquia S.A.S.</v>
      </c>
      <c r="E36" t="str">
        <f ca="1">INDEX($Z$2:$Z$26,MATCH(D36,$Y$2:$Y$26,0))</f>
        <v>901234567-2</v>
      </c>
      <c r="F36" t="str">
        <f ca="1">INDEX($W$2:$W$31,MATCH(C36,$V$2:$V$31,0))</f>
        <v>Servicios Públicos</v>
      </c>
      <c r="G36" t="str" cm="1">
        <f t="array" aca="1" ref="G36" ca="1">INDEX($AB$2:$AB$6,RANDBETWEEN(1,5))</f>
        <v>Bodega</v>
      </c>
      <c r="H36" s="2">
        <f ca="1">ROUND(RANDBETWEEN(150000,8500000),-2)</f>
        <v>6926900</v>
      </c>
      <c r="I36" s="3">
        <f ca="1">IF(OR(F36="Servicios Públicos",F36="Financieros",F36="Legales",F36="Seguros"),0,0.19)</f>
        <v>0</v>
      </c>
      <c r="J36" s="2">
        <f ca="1">ROUND(H36*I36,0)</f>
        <v>0</v>
      </c>
      <c r="K36" s="2">
        <f ca="1">H36+J36</f>
        <v>6926900</v>
      </c>
      <c r="L36" s="15">
        <f ca="1">INDEX($X$2:$X$31,MATCH(C36,$V$2:$V$31,0))</f>
        <v>0</v>
      </c>
      <c r="M36" s="2">
        <f ca="1">ROUND(H36*L36,0)</f>
        <v>0</v>
      </c>
      <c r="N36" s="3">
        <f ca="1">IF(I36=0,0,0.15)</f>
        <v>0</v>
      </c>
      <c r="O36" s="2">
        <f ca="1">ROUND(J36*N36,0)</f>
        <v>0</v>
      </c>
      <c r="P36" s="4">
        <f>0.01104</f>
        <v>1.1039999999999999E-2</v>
      </c>
      <c r="Q36" s="2">
        <f ca="1">ROUND(H36*P36,0)</f>
        <v>76473</v>
      </c>
      <c r="R36" s="2">
        <f ca="1">K36-M36-O36-Q36</f>
        <v>6850427</v>
      </c>
      <c r="S36" t="str">
        <f ca="1">CHOOSE(RANDBETWEEN(1,3),"Transferencia","Efectivo","Tarjeta crédito")</f>
        <v>Tarjeta crédito</v>
      </c>
      <c r="T36" t="str">
        <f ca="1">IF(RANDBETWEEN(1,10)&lt;=8,"Pagado","Pendiente")</f>
        <v>Pagado</v>
      </c>
    </row>
    <row r="37" spans="1:20" x14ac:dyDescent="0.35">
      <c r="A37" t="str">
        <f>"GA-"&amp;TEXT(2000+ROW()-2,"0000")</f>
        <v>GA-2035</v>
      </c>
      <c r="B37" s="1">
        <f ca="1">DATE(2026,1,1)+RANDBETWEEN(0,119)</f>
        <v>46077</v>
      </c>
      <c r="C37" t="str" cm="1">
        <f t="array" aca="1" ref="C37" ca="1">INDEX($V$2:$V$31,RANDBETWEEN(1,30))</f>
        <v>Servicio de internet y telefonía</v>
      </c>
      <c r="D37" t="str" cm="1">
        <f t="array" aca="1" ref="D37" ca="1">INDEX($Y$2:$Y$26,RANDBETWEEN(1,25))</f>
        <v>Aseo Total Medellín S.A.S.</v>
      </c>
      <c r="E37" t="str">
        <f ca="1">INDEX($Z$2:$Z$26,MATCH(D37,$Y$2:$Y$26,0))</f>
        <v>900567890-4</v>
      </c>
      <c r="F37" t="str">
        <f ca="1">INDEX($W$2:$W$31,MATCH(C37,$V$2:$V$31,0))</f>
        <v>Servicios Públicos</v>
      </c>
      <c r="G37" t="str" cm="1">
        <f t="array" aca="1" ref="G37" ca="1">INDEX($AB$2:$AB$6,RANDBETWEEN(1,5))</f>
        <v>Ventas</v>
      </c>
      <c r="H37" s="2">
        <f ca="1">ROUND(RANDBETWEEN(150000,8500000),-2)</f>
        <v>7519600</v>
      </c>
      <c r="I37" s="3">
        <f ca="1">IF(OR(F37="Servicios Públicos",F37="Financieros",F37="Legales",F37="Seguros"),0,0.19)</f>
        <v>0</v>
      </c>
      <c r="J37" s="2">
        <f ca="1">ROUND(H37*I37,0)</f>
        <v>0</v>
      </c>
      <c r="K37" s="2">
        <f ca="1">H37+J37</f>
        <v>7519600</v>
      </c>
      <c r="L37" s="15">
        <f ca="1">INDEX($X$2:$X$31,MATCH(C37,$V$2:$V$31,0))</f>
        <v>0.04</v>
      </c>
      <c r="M37" s="2">
        <f ca="1">ROUND(H37*L37,0)</f>
        <v>300784</v>
      </c>
      <c r="N37" s="3">
        <f ca="1">IF(I37=0,0,0.15)</f>
        <v>0</v>
      </c>
      <c r="O37" s="2">
        <f ca="1">ROUND(J37*N37,0)</f>
        <v>0</v>
      </c>
      <c r="P37" s="4">
        <f>0.01104</f>
        <v>1.1039999999999999E-2</v>
      </c>
      <c r="Q37" s="2">
        <f ca="1">ROUND(H37*P37,0)</f>
        <v>83016</v>
      </c>
      <c r="R37" s="2">
        <f ca="1">K37-M37-O37-Q37</f>
        <v>7135800</v>
      </c>
      <c r="S37" t="str">
        <f ca="1">CHOOSE(RANDBETWEEN(1,3),"Transferencia","Efectivo","Tarjeta crédito")</f>
        <v>Tarjeta crédito</v>
      </c>
      <c r="T37" t="str">
        <f ca="1">IF(RANDBETWEEN(1,10)&lt;=8,"Pagado","Pendiente")</f>
        <v>Pagado</v>
      </c>
    </row>
    <row r="38" spans="1:20" x14ac:dyDescent="0.35">
      <c r="A38" t="str">
        <f>"GA-"&amp;TEXT(2000+ROW()-2,"0000")</f>
        <v>GA-2036</v>
      </c>
      <c r="B38" s="1">
        <f ca="1">DATE(2026,1,1)+RANDBETWEEN(0,119)</f>
        <v>46132</v>
      </c>
      <c r="C38" t="str" cm="1">
        <f t="array" aca="1" ref="C38" ca="1">INDEX($V$2:$V$31,RANDBETWEEN(1,30))</f>
        <v>Mantenimiento equipos de cómputo</v>
      </c>
      <c r="D38" t="str" cm="1">
        <f t="array" aca="1" ref="D38" ca="1">INDEX($Y$2:$Y$26,RANDBETWEEN(1,25))</f>
        <v>Centro de Capacitación SST Antioquia</v>
      </c>
      <c r="E38" t="str">
        <f ca="1">INDEX($Z$2:$Z$26,MATCH(D38,$Y$2:$Y$26,0))</f>
        <v>901678901-3</v>
      </c>
      <c r="F38" t="str">
        <f ca="1">INDEX($W$2:$W$31,MATCH(C38,$V$2:$V$31,0))</f>
        <v>Mantenimiento</v>
      </c>
      <c r="G38" t="str" cm="1">
        <f t="array" aca="1" ref="G38" ca="1">INDEX($AB$2:$AB$6,RANDBETWEEN(1,5))</f>
        <v>Logística</v>
      </c>
      <c r="H38" s="2">
        <f ca="1">ROUND(RANDBETWEEN(150000,8500000),-2)</f>
        <v>789700</v>
      </c>
      <c r="I38" s="3">
        <f ca="1">IF(OR(F38="Servicios Públicos",F38="Financieros",F38="Legales",F38="Seguros"),0,0.19)</f>
        <v>0.19</v>
      </c>
      <c r="J38" s="2">
        <f ca="1">ROUND(H38*I38,0)</f>
        <v>150043</v>
      </c>
      <c r="K38" s="2">
        <f ca="1">H38+J38</f>
        <v>939743</v>
      </c>
      <c r="L38" s="15">
        <f ca="1">INDEX($X$2:$X$31,MATCH(C38,$V$2:$V$31,0))</f>
        <v>0.04</v>
      </c>
      <c r="M38" s="2">
        <f ca="1">ROUND(H38*L38,0)</f>
        <v>31588</v>
      </c>
      <c r="N38" s="3">
        <f ca="1">IF(I38=0,0,0.15)</f>
        <v>0.15</v>
      </c>
      <c r="O38" s="2">
        <f ca="1">ROUND(J38*N38,0)</f>
        <v>22506</v>
      </c>
      <c r="P38" s="4">
        <f>0.01104</f>
        <v>1.1039999999999999E-2</v>
      </c>
      <c r="Q38" s="2">
        <f ca="1">ROUND(H38*P38,0)</f>
        <v>8718</v>
      </c>
      <c r="R38" s="2">
        <f ca="1">K38-M38-O38-Q38</f>
        <v>876931</v>
      </c>
      <c r="S38" t="str">
        <f ca="1">CHOOSE(RANDBETWEEN(1,3),"Transferencia","Efectivo","Tarjeta crédito")</f>
        <v>Tarjeta crédito</v>
      </c>
      <c r="T38" t="str">
        <f ca="1">IF(RANDBETWEEN(1,10)&lt;=8,"Pagado","Pendiente")</f>
        <v>Pendiente</v>
      </c>
    </row>
    <row r="39" spans="1:20" x14ac:dyDescent="0.35">
      <c r="A39" t="str">
        <f>"GA-"&amp;TEXT(2000+ROW()-2,"0000")</f>
        <v>GA-2037</v>
      </c>
      <c r="B39" s="1">
        <f ca="1">DATE(2026,1,1)+RANDBETWEEN(0,119)</f>
        <v>46097</v>
      </c>
      <c r="C39" t="str" cm="1">
        <f t="array" aca="1" ref="C39" ca="1">INDEX($V$2:$V$31,RANDBETWEEN(1,30))</f>
        <v>Mantenimiento vehículo de reparto</v>
      </c>
      <c r="D39" t="str" cm="1">
        <f t="array" aca="1" ref="D39" ca="1">INDEX($Y$2:$Y$26,RANDBETWEEN(1,25))</f>
        <v>Taller Mecánico El Paisa Ltda.</v>
      </c>
      <c r="E39" t="str">
        <f ca="1">INDEX($Z$2:$Z$26,MATCH(D39,$Y$2:$Y$26,0))</f>
        <v>890456789-5</v>
      </c>
      <c r="F39" t="str">
        <f ca="1">INDEX($W$2:$W$31,MATCH(C39,$V$2:$V$31,0))</f>
        <v>Mantenimiento</v>
      </c>
      <c r="G39" t="str" cm="1">
        <f t="array" aca="1" ref="G39" ca="1">INDEX($AB$2:$AB$6,RANDBETWEEN(1,5))</f>
        <v>Administración</v>
      </c>
      <c r="H39" s="2">
        <f ca="1">ROUND(RANDBETWEEN(150000,8500000),-2)</f>
        <v>2421800</v>
      </c>
      <c r="I39" s="3">
        <f ca="1">IF(OR(F39="Servicios Públicos",F39="Financieros",F39="Legales",F39="Seguros"),0,0.19)</f>
        <v>0.19</v>
      </c>
      <c r="J39" s="2">
        <f ca="1">ROUND(H39*I39,0)</f>
        <v>460142</v>
      </c>
      <c r="K39" s="2">
        <f ca="1">H39+J39</f>
        <v>2881942</v>
      </c>
      <c r="L39" s="15">
        <f ca="1">INDEX($X$2:$X$31,MATCH(C39,$V$2:$V$31,0))</f>
        <v>0.04</v>
      </c>
      <c r="M39" s="2">
        <f ca="1">ROUND(H39*L39,0)</f>
        <v>96872</v>
      </c>
      <c r="N39" s="3">
        <f ca="1">IF(I39=0,0,0.15)</f>
        <v>0.15</v>
      </c>
      <c r="O39" s="2">
        <f ca="1">ROUND(J39*N39,0)</f>
        <v>69021</v>
      </c>
      <c r="P39" s="4">
        <f>0.01104</f>
        <v>1.1039999999999999E-2</v>
      </c>
      <c r="Q39" s="2">
        <f ca="1">ROUND(H39*P39,0)</f>
        <v>26737</v>
      </c>
      <c r="R39" s="2">
        <f ca="1">K39-M39-O39-Q39</f>
        <v>2689312</v>
      </c>
      <c r="S39" t="str">
        <f ca="1">CHOOSE(RANDBETWEEN(1,3),"Transferencia","Efectivo","Tarjeta crédito")</f>
        <v>Tarjeta crédito</v>
      </c>
      <c r="T39" t="str">
        <f ca="1">IF(RANDBETWEEN(1,10)&lt;=8,"Pagado","Pendiente")</f>
        <v>Pendiente</v>
      </c>
    </row>
    <row r="40" spans="1:20" x14ac:dyDescent="0.35">
      <c r="A40" t="str">
        <f>"GA-"&amp;TEXT(2000+ROW()-2,"0000")</f>
        <v>GA-2038</v>
      </c>
      <c r="B40" s="1">
        <f ca="1">DATE(2026,1,1)+RANDBETWEEN(0,119)</f>
        <v>46023</v>
      </c>
      <c r="C40" t="str" cm="1">
        <f t="array" aca="1" ref="C40" ca="1">INDEX($V$2:$V$31,RANDBETWEEN(1,30))</f>
        <v>Papelería y útiles de oficina</v>
      </c>
      <c r="D40" t="str" cm="1">
        <f t="array" aca="1" ref="D40" ca="1">INDEX($Y$2:$Y$26,RANDBETWEEN(1,25))</f>
        <v>Vigilancia Andina Seguridad Ltda.</v>
      </c>
      <c r="E40" t="str">
        <f ca="1">INDEX($Z$2:$Z$26,MATCH(D40,$Y$2:$Y$26,0))</f>
        <v>800678901-5</v>
      </c>
      <c r="F40" t="str">
        <f ca="1">INDEX($W$2:$W$31,MATCH(C40,$V$2:$V$31,0))</f>
        <v>Suministros</v>
      </c>
      <c r="G40" t="str" cm="1">
        <f t="array" aca="1" ref="G40" ca="1">INDEX($AB$2:$AB$6,RANDBETWEEN(1,5))</f>
        <v>Ventas</v>
      </c>
      <c r="H40" s="2">
        <f ca="1">ROUND(RANDBETWEEN(150000,8500000),-2)</f>
        <v>7441800</v>
      </c>
      <c r="I40" s="3">
        <f ca="1">IF(OR(F40="Servicios Públicos",F40="Financieros",F40="Legales",F40="Seguros"),0,0.19)</f>
        <v>0.19</v>
      </c>
      <c r="J40" s="2">
        <f ca="1">ROUND(H40*I40,0)</f>
        <v>1413942</v>
      </c>
      <c r="K40" s="2">
        <f ca="1">H40+J40</f>
        <v>8855742</v>
      </c>
      <c r="L40" s="15">
        <f ca="1">INDEX($X$2:$X$31,MATCH(C40,$V$2:$V$31,0))</f>
        <v>2.5000000000000001E-2</v>
      </c>
      <c r="M40" s="2">
        <f ca="1">ROUND(H40*L40,0)</f>
        <v>186045</v>
      </c>
      <c r="N40" s="3">
        <f ca="1">IF(I40=0,0,0.15)</f>
        <v>0.15</v>
      </c>
      <c r="O40" s="2">
        <f ca="1">ROUND(J40*N40,0)</f>
        <v>212091</v>
      </c>
      <c r="P40" s="4">
        <f>0.01104</f>
        <v>1.1039999999999999E-2</v>
      </c>
      <c r="Q40" s="2">
        <f ca="1">ROUND(H40*P40,0)</f>
        <v>82157</v>
      </c>
      <c r="R40" s="2">
        <f ca="1">K40-M40-O40-Q40</f>
        <v>8375449</v>
      </c>
      <c r="S40" t="str">
        <f ca="1">CHOOSE(RANDBETWEEN(1,3),"Transferencia","Efectivo","Tarjeta crédito")</f>
        <v>Transferencia</v>
      </c>
      <c r="T40" t="str">
        <f ca="1">IF(RANDBETWEEN(1,10)&lt;=8,"Pagado","Pendiente")</f>
        <v>Pagado</v>
      </c>
    </row>
    <row r="41" spans="1:20" x14ac:dyDescent="0.35">
      <c r="A41" t="str">
        <f>"GA-"&amp;TEXT(2000+ROW()-2,"0000")</f>
        <v>GA-2039</v>
      </c>
      <c r="B41" s="1">
        <f ca="1">DATE(2026,1,1)+RANDBETWEEN(0,119)</f>
        <v>46030</v>
      </c>
      <c r="C41" t="str" cm="1">
        <f t="array" aca="1" ref="C41" ca="1">INDEX($V$2:$V$31,RANDBETWEEN(1,30))</f>
        <v>Mantenimiento vehículo de reparto</v>
      </c>
      <c r="D41" t="str" cm="1">
        <f t="array" aca="1" ref="D41" ca="1">INDEX($Y$2:$Y$26,RANDBETWEEN(1,25))</f>
        <v>Distribuidora Café Aburrá Ltda.</v>
      </c>
      <c r="E41" t="str">
        <f ca="1">INDEX($Z$2:$Z$26,MATCH(D41,$Y$2:$Y$26,0))</f>
        <v>901890123-7</v>
      </c>
      <c r="F41" t="str">
        <f ca="1">INDEX($W$2:$W$31,MATCH(C41,$V$2:$V$31,0))</f>
        <v>Mantenimiento</v>
      </c>
      <c r="G41" t="str" cm="1">
        <f t="array" aca="1" ref="G41" ca="1">INDEX($AB$2:$AB$6,RANDBETWEEN(1,5))</f>
        <v>Bodega</v>
      </c>
      <c r="H41" s="2">
        <f ca="1">ROUND(RANDBETWEEN(150000,8500000),-2)</f>
        <v>6111500</v>
      </c>
      <c r="I41" s="3">
        <f ca="1">IF(OR(F41="Servicios Públicos",F41="Financieros",F41="Legales",F41="Seguros"),0,0.19)</f>
        <v>0.19</v>
      </c>
      <c r="J41" s="2">
        <f ca="1">ROUND(H41*I41,0)</f>
        <v>1161185</v>
      </c>
      <c r="K41" s="2">
        <f ca="1">H41+J41</f>
        <v>7272685</v>
      </c>
      <c r="L41" s="15">
        <f ca="1">INDEX($X$2:$X$31,MATCH(C41,$V$2:$V$31,0))</f>
        <v>0.04</v>
      </c>
      <c r="M41" s="2">
        <f ca="1">ROUND(H41*L41,0)</f>
        <v>244460</v>
      </c>
      <c r="N41" s="3">
        <f ca="1">IF(I41=0,0,0.15)</f>
        <v>0.15</v>
      </c>
      <c r="O41" s="2">
        <f ca="1">ROUND(J41*N41,0)</f>
        <v>174178</v>
      </c>
      <c r="P41" s="4">
        <f>0.01104</f>
        <v>1.1039999999999999E-2</v>
      </c>
      <c r="Q41" s="2">
        <f ca="1">ROUND(H41*P41,0)</f>
        <v>67471</v>
      </c>
      <c r="R41" s="2">
        <f ca="1">K41-M41-O41-Q41</f>
        <v>6786576</v>
      </c>
      <c r="S41" t="str">
        <f ca="1">CHOOSE(RANDBETWEEN(1,3),"Transferencia","Efectivo","Tarjeta crédito")</f>
        <v>Efectivo</v>
      </c>
      <c r="T41" t="str">
        <f ca="1">IF(RANDBETWEEN(1,10)&lt;=8,"Pagado","Pendiente")</f>
        <v>Pendiente</v>
      </c>
    </row>
    <row r="42" spans="1:20" x14ac:dyDescent="0.35">
      <c r="A42" t="str">
        <f>"GA-"&amp;TEXT(2000+ROW()-2,"0000")</f>
        <v>GA-2040</v>
      </c>
      <c r="B42" s="1">
        <f ca="1">DATE(2026,1,1)+RANDBETWEEN(0,119)</f>
        <v>46117</v>
      </c>
      <c r="C42" t="str" cm="1">
        <f t="array" aca="1" ref="C42" ca="1">INDEX($V$2:$V$31,RANDBETWEEN(1,30))</f>
        <v>Honorarios asesoría jurídica</v>
      </c>
      <c r="D42" t="str" cm="1">
        <f t="array" aca="1" ref="D42" ca="1">INDEX($Y$2:$Y$26,RANDBETWEEN(1,25))</f>
        <v>Agencia Digital Laureles S.A.S.</v>
      </c>
      <c r="E42" t="str">
        <f ca="1">INDEX($Z$2:$Z$26,MATCH(D42,$Y$2:$Y$26,0))</f>
        <v>901567890-1</v>
      </c>
      <c r="F42" t="str">
        <f ca="1">INDEX($W$2:$W$31,MATCH(C42,$V$2:$V$31,0))</f>
        <v>Honorarios</v>
      </c>
      <c r="G42" t="str" cm="1">
        <f t="array" aca="1" ref="G42" ca="1">INDEX($AB$2:$AB$6,RANDBETWEEN(1,5))</f>
        <v>Logística</v>
      </c>
      <c r="H42" s="2">
        <f ca="1">ROUND(RANDBETWEEN(150000,8500000),-2)</f>
        <v>1573400</v>
      </c>
      <c r="I42" s="3">
        <f ca="1">IF(OR(F42="Servicios Públicos",F42="Financieros",F42="Legales",F42="Seguros"),0,0.19)</f>
        <v>0.19</v>
      </c>
      <c r="J42" s="2">
        <f ca="1">ROUND(H42*I42,0)</f>
        <v>298946</v>
      </c>
      <c r="K42" s="2">
        <f ca="1">H42+J42</f>
        <v>1872346</v>
      </c>
      <c r="L42" s="15">
        <f ca="1">INDEX($X$2:$X$31,MATCH(C42,$V$2:$V$31,0))</f>
        <v>0.11</v>
      </c>
      <c r="M42" s="2">
        <f ca="1">ROUND(H42*L42,0)</f>
        <v>173074</v>
      </c>
      <c r="N42" s="3">
        <f ca="1">IF(I42=0,0,0.15)</f>
        <v>0.15</v>
      </c>
      <c r="O42" s="2">
        <f ca="1">ROUND(J42*N42,0)</f>
        <v>44842</v>
      </c>
      <c r="P42" s="4">
        <f>0.01104</f>
        <v>1.1039999999999999E-2</v>
      </c>
      <c r="Q42" s="2">
        <f ca="1">ROUND(H42*P42,0)</f>
        <v>17370</v>
      </c>
      <c r="R42" s="2">
        <f ca="1">K42-M42-O42-Q42</f>
        <v>1637060</v>
      </c>
      <c r="S42" t="str">
        <f ca="1">CHOOSE(RANDBETWEEN(1,3),"Transferencia","Efectivo","Tarjeta crédito")</f>
        <v>Efectivo</v>
      </c>
      <c r="T42" t="str">
        <f ca="1">IF(RANDBETWEEN(1,10)&lt;=8,"Pagado","Pendiente")</f>
        <v>Pagado</v>
      </c>
    </row>
    <row r="43" spans="1:20" x14ac:dyDescent="0.35">
      <c r="A43" t="str">
        <f>"GA-"&amp;TEXT(2000+ROW()-2,"0000")</f>
        <v>GA-2041</v>
      </c>
      <c r="B43" s="1">
        <f ca="1">DATE(2026,1,1)+RANDBETWEEN(0,119)</f>
        <v>46111</v>
      </c>
      <c r="C43" t="str" cm="1">
        <f t="array" aca="1" ref="C43" ca="1">INDEX($V$2:$V$31,RANDBETWEEN(1,30))</f>
        <v>Publicidad redes sociales</v>
      </c>
      <c r="D43" t="str" cm="1">
        <f t="array" aca="1" ref="D43" ca="1">INDEX($Y$2:$Y$26,RANDBETWEEN(1,25))</f>
        <v>Dotaciones Industriales Itagüí</v>
      </c>
      <c r="E43" t="str">
        <f ca="1">INDEX($Z$2:$Z$26,MATCH(D43,$Y$2:$Y$26,0))</f>
        <v>900234567-6</v>
      </c>
      <c r="F43" t="str">
        <f ca="1">INDEX($W$2:$W$31,MATCH(C43,$V$2:$V$31,0))</f>
        <v>Publicidad</v>
      </c>
      <c r="G43" t="str" cm="1">
        <f t="array" aca="1" ref="G43" ca="1">INDEX($AB$2:$AB$6,RANDBETWEEN(1,5))</f>
        <v>Logística</v>
      </c>
      <c r="H43" s="2">
        <f ca="1">ROUND(RANDBETWEEN(150000,8500000),-2)</f>
        <v>8293100</v>
      </c>
      <c r="I43" s="3">
        <f ca="1">IF(OR(F43="Servicios Públicos",F43="Financieros",F43="Legales",F43="Seguros"),0,0.19)</f>
        <v>0.19</v>
      </c>
      <c r="J43" s="2">
        <f ca="1">ROUND(H43*I43,0)</f>
        <v>1575689</v>
      </c>
      <c r="K43" s="2">
        <f ca="1">H43+J43</f>
        <v>9868789</v>
      </c>
      <c r="L43" s="15">
        <f ca="1">INDEX($X$2:$X$31,MATCH(C43,$V$2:$V$31,0))</f>
        <v>0.04</v>
      </c>
      <c r="M43" s="2">
        <f ca="1">ROUND(H43*L43,0)</f>
        <v>331724</v>
      </c>
      <c r="N43" s="3">
        <f ca="1">IF(I43=0,0,0.15)</f>
        <v>0.15</v>
      </c>
      <c r="O43" s="2">
        <f ca="1">ROUND(J43*N43,0)</f>
        <v>236353</v>
      </c>
      <c r="P43" s="4">
        <f>0.01104</f>
        <v>1.1039999999999999E-2</v>
      </c>
      <c r="Q43" s="2">
        <f ca="1">ROUND(H43*P43,0)</f>
        <v>91556</v>
      </c>
      <c r="R43" s="2">
        <f ca="1">K43-M43-O43-Q43</f>
        <v>9209156</v>
      </c>
      <c r="S43" t="str">
        <f ca="1">CHOOSE(RANDBETWEEN(1,3),"Transferencia","Efectivo","Tarjeta crédito")</f>
        <v>Tarjeta crédito</v>
      </c>
      <c r="T43" t="str">
        <f ca="1">IF(RANDBETWEEN(1,10)&lt;=8,"Pagado","Pendiente")</f>
        <v>Pagado</v>
      </c>
    </row>
    <row r="44" spans="1:20" x14ac:dyDescent="0.35">
      <c r="A44" t="str">
        <f>"GA-"&amp;TEXT(2000+ROW()-2,"0000")</f>
        <v>GA-2042</v>
      </c>
      <c r="B44" s="1">
        <f ca="1">DATE(2026,1,1)+RANDBETWEEN(0,119)</f>
        <v>46117</v>
      </c>
      <c r="C44" t="str" cm="1">
        <f t="array" aca="1" ref="C44" ca="1">INDEX($V$2:$V$31,RANDBETWEEN(1,30))</f>
        <v>Plataforma facturación electrónica</v>
      </c>
      <c r="D44" t="str" cm="1">
        <f t="array" aca="1" ref="D44" ca="1">INDEX($Y$2:$Y$26,RANDBETWEEN(1,25))</f>
        <v>Taller Mecánico El Paisa Ltda.</v>
      </c>
      <c r="E44" t="str">
        <f ca="1">INDEX($Z$2:$Z$26,MATCH(D44,$Y$2:$Y$26,0))</f>
        <v>890456789-5</v>
      </c>
      <c r="F44" t="str">
        <f ca="1">INDEX($W$2:$W$31,MATCH(C44,$V$2:$V$31,0))</f>
        <v>Tecnología</v>
      </c>
      <c r="G44" t="str" cm="1">
        <f t="array" aca="1" ref="G44" ca="1">INDEX($AB$2:$AB$6,RANDBETWEEN(1,5))</f>
        <v>Gerencia</v>
      </c>
      <c r="H44" s="2">
        <f ca="1">ROUND(RANDBETWEEN(150000,8500000),-2)</f>
        <v>5484600</v>
      </c>
      <c r="I44" s="3">
        <f ca="1">IF(OR(F44="Servicios Públicos",F44="Financieros",F44="Legales",F44="Seguros"),0,0.19)</f>
        <v>0.19</v>
      </c>
      <c r="J44" s="2">
        <f ca="1">ROUND(H44*I44,0)</f>
        <v>1042074</v>
      </c>
      <c r="K44" s="2">
        <f ca="1">H44+J44</f>
        <v>6526674</v>
      </c>
      <c r="L44" s="15">
        <f ca="1">INDEX($X$2:$X$31,MATCH(C44,$V$2:$V$31,0))</f>
        <v>3.5000000000000003E-2</v>
      </c>
      <c r="M44" s="2">
        <f ca="1">ROUND(H44*L44,0)</f>
        <v>191961</v>
      </c>
      <c r="N44" s="3">
        <f ca="1">IF(I44=0,0,0.15)</f>
        <v>0.15</v>
      </c>
      <c r="O44" s="2">
        <f ca="1">ROUND(J44*N44,0)</f>
        <v>156311</v>
      </c>
      <c r="P44" s="4">
        <f>0.01104</f>
        <v>1.1039999999999999E-2</v>
      </c>
      <c r="Q44" s="2">
        <f ca="1">ROUND(H44*P44,0)</f>
        <v>60550</v>
      </c>
      <c r="R44" s="2">
        <f ca="1">K44-M44-O44-Q44</f>
        <v>6117852</v>
      </c>
      <c r="S44" t="str">
        <f ca="1">CHOOSE(RANDBETWEEN(1,3),"Transferencia","Efectivo","Tarjeta crédito")</f>
        <v>Efectivo</v>
      </c>
      <c r="T44" t="str">
        <f ca="1">IF(RANDBETWEEN(1,10)&lt;=8,"Pagado","Pendiente")</f>
        <v>Pagado</v>
      </c>
    </row>
    <row r="45" spans="1:20" x14ac:dyDescent="0.35">
      <c r="A45" t="str">
        <f>"GA-"&amp;TEXT(2000+ROW()-2,"0000")</f>
        <v>GA-2043</v>
      </c>
      <c r="B45" s="1">
        <f ca="1">DATE(2026,1,1)+RANDBETWEEN(0,119)</f>
        <v>46025</v>
      </c>
      <c r="C45" t="str" cm="1">
        <f t="array" aca="1" ref="C45" ca="1">INDEX($V$2:$V$31,RANDBETWEEN(1,30))</f>
        <v>Servicio de energía eléctrica</v>
      </c>
      <c r="D45" t="str" cm="1">
        <f t="array" aca="1" ref="D45" ca="1">INDEX($Y$2:$Y$26,RANDBETWEEN(1,25))</f>
        <v>Aseo Total Medellín S.A.S.</v>
      </c>
      <c r="E45" t="str">
        <f ca="1">INDEX($Z$2:$Z$26,MATCH(D45,$Y$2:$Y$26,0))</f>
        <v>900567890-4</v>
      </c>
      <c r="F45" t="str">
        <f ca="1">INDEX($W$2:$W$31,MATCH(C45,$V$2:$V$31,0))</f>
        <v>Servicios Públicos</v>
      </c>
      <c r="G45" t="str" cm="1">
        <f t="array" aca="1" ref="G45" ca="1">INDEX($AB$2:$AB$6,RANDBETWEEN(1,5))</f>
        <v>Administración</v>
      </c>
      <c r="H45" s="2">
        <f ca="1">ROUND(RANDBETWEEN(150000,8500000),-2)</f>
        <v>5482000</v>
      </c>
      <c r="I45" s="3">
        <f ca="1">IF(OR(F45="Servicios Públicos",F45="Financieros",F45="Legales",F45="Seguros"),0,0.19)</f>
        <v>0</v>
      </c>
      <c r="J45" s="2">
        <f ca="1">ROUND(H45*I45,0)</f>
        <v>0</v>
      </c>
      <c r="K45" s="2">
        <f ca="1">H45+J45</f>
        <v>5482000</v>
      </c>
      <c r="L45" s="15">
        <f ca="1">INDEX($X$2:$X$31,MATCH(C45,$V$2:$V$31,0))</f>
        <v>0</v>
      </c>
      <c r="M45" s="2">
        <f ca="1">ROUND(H45*L45,0)</f>
        <v>0</v>
      </c>
      <c r="N45" s="3">
        <f ca="1">IF(I45=0,0,0.15)</f>
        <v>0</v>
      </c>
      <c r="O45" s="2">
        <f ca="1">ROUND(J45*N45,0)</f>
        <v>0</v>
      </c>
      <c r="P45" s="4">
        <f>0.01104</f>
        <v>1.1039999999999999E-2</v>
      </c>
      <c r="Q45" s="2">
        <f ca="1">ROUND(H45*P45,0)</f>
        <v>60521</v>
      </c>
      <c r="R45" s="2">
        <f ca="1">K45-M45-O45-Q45</f>
        <v>5421479</v>
      </c>
      <c r="S45" t="str">
        <f ca="1">CHOOSE(RANDBETWEEN(1,3),"Transferencia","Efectivo","Tarjeta crédito")</f>
        <v>Transferencia</v>
      </c>
      <c r="T45" t="str">
        <f ca="1">IF(RANDBETWEEN(1,10)&lt;=8,"Pagado","Pendiente")</f>
        <v>Pagado</v>
      </c>
    </row>
    <row r="46" spans="1:20" x14ac:dyDescent="0.35">
      <c r="A46" t="str">
        <f>"GA-"&amp;TEXT(2000+ROW()-2,"0000")</f>
        <v>GA-2044</v>
      </c>
      <c r="B46" s="1">
        <f ca="1">DATE(2026,1,1)+RANDBETWEEN(0,119)</f>
        <v>46080</v>
      </c>
      <c r="C46" t="str" cm="1">
        <f t="array" aca="1" ref="C46" ca="1">INDEX($V$2:$V$31,RANDBETWEEN(1,30))</f>
        <v>Café, agua y refrigerios oficina</v>
      </c>
      <c r="D46" t="str" cm="1">
        <f t="array" aca="1" ref="D46" ca="1">INDEX($Y$2:$Y$26,RANDBETWEEN(1,25))</f>
        <v>Bancolombia S.A.</v>
      </c>
      <c r="E46" t="str">
        <f ca="1">INDEX($Z$2:$Z$26,MATCH(D46,$Y$2:$Y$26,0))</f>
        <v>890903938-8</v>
      </c>
      <c r="F46" t="str">
        <f ca="1">INDEX($W$2:$W$31,MATCH(C46,$V$2:$V$31,0))</f>
        <v>Suministros</v>
      </c>
      <c r="G46" t="str" cm="1">
        <f t="array" aca="1" ref="G46" ca="1">INDEX($AB$2:$AB$6,RANDBETWEEN(1,5))</f>
        <v>Bodega</v>
      </c>
      <c r="H46" s="2">
        <f ca="1">ROUND(RANDBETWEEN(150000,8500000),-2)</f>
        <v>6928100</v>
      </c>
      <c r="I46" s="3">
        <f ca="1">IF(OR(F46="Servicios Públicos",F46="Financieros",F46="Legales",F46="Seguros"),0,0.19)</f>
        <v>0.19</v>
      </c>
      <c r="J46" s="2">
        <f ca="1">ROUND(H46*I46,0)</f>
        <v>1316339</v>
      </c>
      <c r="K46" s="2">
        <f ca="1">H46+J46</f>
        <v>8244439</v>
      </c>
      <c r="L46" s="15">
        <f ca="1">INDEX($X$2:$X$31,MATCH(C46,$V$2:$V$31,0))</f>
        <v>2.5000000000000001E-2</v>
      </c>
      <c r="M46" s="2">
        <f ca="1">ROUND(H46*L46,0)</f>
        <v>173203</v>
      </c>
      <c r="N46" s="3">
        <f ca="1">IF(I46=0,0,0.15)</f>
        <v>0.15</v>
      </c>
      <c r="O46" s="2">
        <f ca="1">ROUND(J46*N46,0)</f>
        <v>197451</v>
      </c>
      <c r="P46" s="4">
        <f>0.01104</f>
        <v>1.1039999999999999E-2</v>
      </c>
      <c r="Q46" s="2">
        <f ca="1">ROUND(H46*P46,0)</f>
        <v>76486</v>
      </c>
      <c r="R46" s="2">
        <f ca="1">K46-M46-O46-Q46</f>
        <v>7797299</v>
      </c>
      <c r="S46" t="str">
        <f ca="1">CHOOSE(RANDBETWEEN(1,3),"Transferencia","Efectivo","Tarjeta crédito")</f>
        <v>Transferencia</v>
      </c>
      <c r="T46" t="str">
        <f ca="1">IF(RANDBETWEEN(1,10)&lt;=8,"Pagado","Pendiente")</f>
        <v>Pendiente</v>
      </c>
    </row>
    <row r="47" spans="1:20" x14ac:dyDescent="0.35">
      <c r="A47" t="str">
        <f>"GA-"&amp;TEXT(2000+ROW()-2,"0000")</f>
        <v>GA-2045</v>
      </c>
      <c r="B47" s="1">
        <f ca="1">DATE(2026,1,1)+RANDBETWEEN(0,119)</f>
        <v>46048</v>
      </c>
      <c r="C47" t="str" cm="1">
        <f t="array" aca="1" ref="C47" ca="1">INDEX($V$2:$V$31,RANDBETWEEN(1,30))</f>
        <v>Plataforma facturación electrónica</v>
      </c>
      <c r="D47" t="str" cm="1">
        <f t="array" aca="1" ref="D47" ca="1">INDEX($Y$2:$Y$26,RANDBETWEEN(1,25))</f>
        <v>Vigilancia Andina Seguridad Ltda.</v>
      </c>
      <c r="E47" t="str">
        <f ca="1">INDEX($Z$2:$Z$26,MATCH(D47,$Y$2:$Y$26,0))</f>
        <v>800678901-5</v>
      </c>
      <c r="F47" t="str">
        <f ca="1">INDEX($W$2:$W$31,MATCH(C47,$V$2:$V$31,0))</f>
        <v>Tecnología</v>
      </c>
      <c r="G47" t="str" cm="1">
        <f t="array" aca="1" ref="G47" ca="1">INDEX($AB$2:$AB$6,RANDBETWEEN(1,5))</f>
        <v>Logística</v>
      </c>
      <c r="H47" s="2">
        <f ca="1">ROUND(RANDBETWEEN(150000,8500000),-2)</f>
        <v>6497200</v>
      </c>
      <c r="I47" s="3">
        <f ca="1">IF(OR(F47="Servicios Públicos",F47="Financieros",F47="Legales",F47="Seguros"),0,0.19)</f>
        <v>0.19</v>
      </c>
      <c r="J47" s="2">
        <f ca="1">ROUND(H47*I47,0)</f>
        <v>1234468</v>
      </c>
      <c r="K47" s="2">
        <f ca="1">H47+J47</f>
        <v>7731668</v>
      </c>
      <c r="L47" s="15">
        <f ca="1">INDEX($X$2:$X$31,MATCH(C47,$V$2:$V$31,0))</f>
        <v>3.5000000000000003E-2</v>
      </c>
      <c r="M47" s="2">
        <f ca="1">ROUND(H47*L47,0)</f>
        <v>227402</v>
      </c>
      <c r="N47" s="3">
        <f ca="1">IF(I47=0,0,0.15)</f>
        <v>0.15</v>
      </c>
      <c r="O47" s="2">
        <f ca="1">ROUND(J47*N47,0)</f>
        <v>185170</v>
      </c>
      <c r="P47" s="4">
        <f>0.01104</f>
        <v>1.1039999999999999E-2</v>
      </c>
      <c r="Q47" s="2">
        <f ca="1">ROUND(H47*P47,0)</f>
        <v>71729</v>
      </c>
      <c r="R47" s="2">
        <f ca="1">K47-M47-O47-Q47</f>
        <v>7247367</v>
      </c>
      <c r="S47" t="str">
        <f ca="1">CHOOSE(RANDBETWEEN(1,3),"Transferencia","Efectivo","Tarjeta crédito")</f>
        <v>Efectivo</v>
      </c>
      <c r="T47" t="str">
        <f ca="1">IF(RANDBETWEEN(1,10)&lt;=8,"Pagado","Pendiente")</f>
        <v>Pendiente</v>
      </c>
    </row>
    <row r="48" spans="1:20" x14ac:dyDescent="0.35">
      <c r="A48" t="str">
        <f>"GA-"&amp;TEXT(2000+ROW()-2,"0000")</f>
        <v>GA-2046</v>
      </c>
      <c r="B48" s="1">
        <f ca="1">DATE(2026,1,1)+RANDBETWEEN(0,119)</f>
        <v>46097</v>
      </c>
      <c r="C48" t="str" cm="1">
        <f t="array" aca="1" ref="C48" ca="1">INDEX($V$2:$V$31,RANDBETWEEN(1,30))</f>
        <v>Servicio de vigilancia privada</v>
      </c>
      <c r="D48" t="str" cm="1">
        <f t="array" aca="1" ref="D48" ca="1">INDEX($Y$2:$Y$26,RANDBETWEEN(1,25))</f>
        <v>Papelería La Candelaria S.A.S.</v>
      </c>
      <c r="E48" t="str">
        <f ca="1">INDEX($Z$2:$Z$26,MATCH(D48,$Y$2:$Y$26,0))</f>
        <v>890567123-8</v>
      </c>
      <c r="F48" t="str">
        <f ca="1">INDEX($W$2:$W$31,MATCH(C48,$V$2:$V$31,0))</f>
        <v>Servicios</v>
      </c>
      <c r="G48" t="str" cm="1">
        <f t="array" aca="1" ref="G48" ca="1">INDEX($AB$2:$AB$6,RANDBETWEEN(1,5))</f>
        <v>Logística</v>
      </c>
      <c r="H48" s="2">
        <f ca="1">ROUND(RANDBETWEEN(150000,8500000),-2)</f>
        <v>6373500</v>
      </c>
      <c r="I48" s="3">
        <f ca="1">IF(OR(F48="Servicios Públicos",F48="Financieros",F48="Legales",F48="Seguros"),0,0.19)</f>
        <v>0.19</v>
      </c>
      <c r="J48" s="2">
        <f ca="1">ROUND(H48*I48,0)</f>
        <v>1210965</v>
      </c>
      <c r="K48" s="2">
        <f ca="1">H48+J48</f>
        <v>7584465</v>
      </c>
      <c r="L48" s="15">
        <f ca="1">INDEX($X$2:$X$31,MATCH(C48,$V$2:$V$31,0))</f>
        <v>0.02</v>
      </c>
      <c r="M48" s="2">
        <f ca="1">ROUND(H48*L48,0)</f>
        <v>127470</v>
      </c>
      <c r="N48" s="3">
        <f ca="1">IF(I48=0,0,0.15)</f>
        <v>0.15</v>
      </c>
      <c r="O48" s="2">
        <f ca="1">ROUND(J48*N48,0)</f>
        <v>181645</v>
      </c>
      <c r="P48" s="4">
        <f>0.01104</f>
        <v>1.1039999999999999E-2</v>
      </c>
      <c r="Q48" s="2">
        <f ca="1">ROUND(H48*P48,0)</f>
        <v>70363</v>
      </c>
      <c r="R48" s="2">
        <f ca="1">K48-M48-O48-Q48</f>
        <v>7204987</v>
      </c>
      <c r="S48" t="str">
        <f ca="1">CHOOSE(RANDBETWEEN(1,3),"Transferencia","Efectivo","Tarjeta crédito")</f>
        <v>Efectivo</v>
      </c>
      <c r="T48" t="str">
        <f ca="1">IF(RANDBETWEEN(1,10)&lt;=8,"Pagado","Pendiente")</f>
        <v>Pagado</v>
      </c>
    </row>
    <row r="49" spans="1:20" x14ac:dyDescent="0.35">
      <c r="A49" t="str">
        <f>"GA-"&amp;TEXT(2000+ROW()-2,"0000")</f>
        <v>GA-2047</v>
      </c>
      <c r="B49" s="1">
        <f ca="1">DATE(2026,1,1)+RANDBETWEEN(0,119)</f>
        <v>46065</v>
      </c>
      <c r="C49" t="str" cm="1">
        <f t="array" aca="1" ref="C49" ca="1">INDEX($V$2:$V$31,RANDBETWEEN(1,30))</f>
        <v>Servicio de courier y mensajería</v>
      </c>
      <c r="D49" t="str" cm="1">
        <f t="array" aca="1" ref="D49" ca="1">INDEX($Y$2:$Y$26,RANDBETWEEN(1,25))</f>
        <v>TecnoSoporte Paisa S.A.S.</v>
      </c>
      <c r="E49" t="str">
        <f ca="1">INDEX($Z$2:$Z$26,MATCH(D49,$Y$2:$Y$26,0))</f>
        <v>901456789-6</v>
      </c>
      <c r="F49" t="str">
        <f ca="1">INDEX($W$2:$W$31,MATCH(C49,$V$2:$V$31,0))</f>
        <v>Servicios</v>
      </c>
      <c r="G49" t="str" cm="1">
        <f t="array" aca="1" ref="G49" ca="1">INDEX($AB$2:$AB$6,RANDBETWEEN(1,5))</f>
        <v>Bodega</v>
      </c>
      <c r="H49" s="2">
        <f ca="1">ROUND(RANDBETWEEN(150000,8500000),-2)</f>
        <v>6026800</v>
      </c>
      <c r="I49" s="3">
        <f ca="1">IF(OR(F49="Servicios Públicos",F49="Financieros",F49="Legales",F49="Seguros"),0,0.19)</f>
        <v>0.19</v>
      </c>
      <c r="J49" s="2">
        <f ca="1">ROUND(H49*I49,0)</f>
        <v>1145092</v>
      </c>
      <c r="K49" s="2">
        <f ca="1">H49+J49</f>
        <v>7171892</v>
      </c>
      <c r="L49" s="15">
        <f ca="1">INDEX($X$2:$X$31,MATCH(C49,$V$2:$V$31,0))</f>
        <v>0.04</v>
      </c>
      <c r="M49" s="2">
        <f ca="1">ROUND(H49*L49,0)</f>
        <v>241072</v>
      </c>
      <c r="N49" s="3">
        <f ca="1">IF(I49=0,0,0.15)</f>
        <v>0.15</v>
      </c>
      <c r="O49" s="2">
        <f ca="1">ROUND(J49*N49,0)</f>
        <v>171764</v>
      </c>
      <c r="P49" s="4">
        <f>0.01104</f>
        <v>1.1039999999999999E-2</v>
      </c>
      <c r="Q49" s="2">
        <f ca="1">ROUND(H49*P49,0)</f>
        <v>66536</v>
      </c>
      <c r="R49" s="2">
        <f ca="1">K49-M49-O49-Q49</f>
        <v>6692520</v>
      </c>
      <c r="S49" t="str">
        <f ca="1">CHOOSE(RANDBETWEEN(1,3),"Transferencia","Efectivo","Tarjeta crédito")</f>
        <v>Tarjeta crédito</v>
      </c>
      <c r="T49" t="str">
        <f ca="1">IF(RANDBETWEEN(1,10)&lt;=8,"Pagado","Pendiente")</f>
        <v>Pagado</v>
      </c>
    </row>
    <row r="50" spans="1:20" x14ac:dyDescent="0.35">
      <c r="A50" t="str">
        <f>"GA-"&amp;TEXT(2000+ROW()-2,"0000")</f>
        <v>GA-2048</v>
      </c>
      <c r="B50" s="1">
        <f ca="1">DATE(2026,1,1)+RANDBETWEEN(0,119)</f>
        <v>46068</v>
      </c>
      <c r="C50" t="str" cm="1">
        <f t="array" aca="1" ref="C50" ca="1">INDEX($V$2:$V$31,RANDBETWEEN(1,30))</f>
        <v>Arrendamiento local comercial</v>
      </c>
      <c r="D50" t="str" cm="1">
        <f t="array" aca="1" ref="D50" ca="1">INDEX($Y$2:$Y$26,RANDBETWEEN(1,25))</f>
        <v>Bancolombia S.A.</v>
      </c>
      <c r="E50" t="str">
        <f ca="1">INDEX($Z$2:$Z$26,MATCH(D50,$Y$2:$Y$26,0))</f>
        <v>890903938-8</v>
      </c>
      <c r="F50" t="str">
        <f ca="1">INDEX($W$2:$W$31,MATCH(C50,$V$2:$V$31,0))</f>
        <v>Arrendamientos</v>
      </c>
      <c r="G50" t="str" cm="1">
        <f t="array" aca="1" ref="G50" ca="1">INDEX($AB$2:$AB$6,RANDBETWEEN(1,5))</f>
        <v>Bodega</v>
      </c>
      <c r="H50" s="2">
        <f ca="1">ROUND(RANDBETWEEN(150000,8500000),-2)</f>
        <v>1033000</v>
      </c>
      <c r="I50" s="3">
        <f ca="1">IF(OR(F50="Servicios Públicos",F50="Financieros",F50="Legales",F50="Seguros"),0,0.19)</f>
        <v>0.19</v>
      </c>
      <c r="J50" s="2">
        <f ca="1">ROUND(H50*I50,0)</f>
        <v>196270</v>
      </c>
      <c r="K50" s="2">
        <f ca="1">H50+J50</f>
        <v>1229270</v>
      </c>
      <c r="L50" s="15">
        <f ca="1">INDEX($X$2:$X$31,MATCH(C50,$V$2:$V$31,0))</f>
        <v>3.5000000000000003E-2</v>
      </c>
      <c r="M50" s="2">
        <f ca="1">ROUND(H50*L50,0)</f>
        <v>36155</v>
      </c>
      <c r="N50" s="3">
        <f ca="1">IF(I50=0,0,0.15)</f>
        <v>0.15</v>
      </c>
      <c r="O50" s="2">
        <f ca="1">ROUND(J50*N50,0)</f>
        <v>29441</v>
      </c>
      <c r="P50" s="4">
        <f>0.01104</f>
        <v>1.1039999999999999E-2</v>
      </c>
      <c r="Q50" s="2">
        <f ca="1">ROUND(H50*P50,0)</f>
        <v>11404</v>
      </c>
      <c r="R50" s="2">
        <f ca="1">K50-M50-O50-Q50</f>
        <v>1152270</v>
      </c>
      <c r="S50" t="str">
        <f ca="1">CHOOSE(RANDBETWEEN(1,3),"Transferencia","Efectivo","Tarjeta crédito")</f>
        <v>Tarjeta crédito</v>
      </c>
      <c r="T50" t="str">
        <f ca="1">IF(RANDBETWEEN(1,10)&lt;=8,"Pagado","Pendiente")</f>
        <v>Pagado</v>
      </c>
    </row>
    <row r="51" spans="1:20" x14ac:dyDescent="0.35">
      <c r="A51" t="str">
        <f>"GA-"&amp;TEXT(2000+ROW()-2,"0000")</f>
        <v>GA-2049</v>
      </c>
      <c r="B51" s="1">
        <f ca="1">DATE(2026,1,1)+RANDBETWEEN(0,119)</f>
        <v>46100</v>
      </c>
      <c r="C51" t="str" cm="1">
        <f t="array" aca="1" ref="C51" ca="1">INDEX($V$2:$V$31,RANDBETWEEN(1,30))</f>
        <v>Arrendamiento local comercial</v>
      </c>
      <c r="D51" t="str" cm="1">
        <f t="array" aca="1" ref="D51" ca="1">INDEX($Y$2:$Y$26,RANDBETWEEN(1,25))</f>
        <v>Agencia Digital Laureles S.A.S.</v>
      </c>
      <c r="E51" t="str">
        <f ca="1">INDEX($Z$2:$Z$26,MATCH(D51,$Y$2:$Y$26,0))</f>
        <v>901567890-1</v>
      </c>
      <c r="F51" t="str">
        <f ca="1">INDEX($W$2:$W$31,MATCH(C51,$V$2:$V$31,0))</f>
        <v>Arrendamientos</v>
      </c>
      <c r="G51" t="str" cm="1">
        <f t="array" aca="1" ref="G51" ca="1">INDEX($AB$2:$AB$6,RANDBETWEEN(1,5))</f>
        <v>Administración</v>
      </c>
      <c r="H51" s="2">
        <f ca="1">ROUND(RANDBETWEEN(150000,8500000),-2)</f>
        <v>2191400</v>
      </c>
      <c r="I51" s="3">
        <f ca="1">IF(OR(F51="Servicios Públicos",F51="Financieros",F51="Legales",F51="Seguros"),0,0.19)</f>
        <v>0.19</v>
      </c>
      <c r="J51" s="2">
        <f ca="1">ROUND(H51*I51,0)</f>
        <v>416366</v>
      </c>
      <c r="K51" s="2">
        <f ca="1">H51+J51</f>
        <v>2607766</v>
      </c>
      <c r="L51" s="15">
        <f ca="1">INDEX($X$2:$X$31,MATCH(C51,$V$2:$V$31,0))</f>
        <v>3.5000000000000003E-2</v>
      </c>
      <c r="M51" s="2">
        <f ca="1">ROUND(H51*L51,0)</f>
        <v>76699</v>
      </c>
      <c r="N51" s="3">
        <f ca="1">IF(I51=0,0,0.15)</f>
        <v>0.15</v>
      </c>
      <c r="O51" s="2">
        <f ca="1">ROUND(J51*N51,0)</f>
        <v>62455</v>
      </c>
      <c r="P51" s="4">
        <f>0.01104</f>
        <v>1.1039999999999999E-2</v>
      </c>
      <c r="Q51" s="2">
        <f ca="1">ROUND(H51*P51,0)</f>
        <v>24193</v>
      </c>
      <c r="R51" s="2">
        <f ca="1">K51-M51-O51-Q51</f>
        <v>2444419</v>
      </c>
      <c r="S51" t="str">
        <f ca="1">CHOOSE(RANDBETWEEN(1,3),"Transferencia","Efectivo","Tarjeta crédito")</f>
        <v>Tarjeta crédito</v>
      </c>
      <c r="T51" t="str">
        <f ca="1">IF(RANDBETWEEN(1,10)&lt;=8,"Pagado","Pendiente")</f>
        <v>Pagado</v>
      </c>
    </row>
  </sheetData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6D80-90DE-42A7-93DB-203E9A46454D}">
  <dimension ref="A1:L808"/>
  <sheetViews>
    <sheetView workbookViewId="0">
      <pane ySplit="1" topLeftCell="A2" activePane="bottomLeft" state="frozen"/>
      <selection pane="bottomLeft" activeCell="I4" sqref="I4"/>
    </sheetView>
  </sheetViews>
  <sheetFormatPr baseColWidth="10" defaultRowHeight="14.5" x14ac:dyDescent="0.35"/>
  <cols>
    <col min="1" max="1" width="20" customWidth="1"/>
    <col min="2" max="2" width="23.6328125" customWidth="1"/>
    <col min="3" max="3" width="16.36328125" customWidth="1"/>
    <col min="4" max="4" width="13.6328125" customWidth="1"/>
    <col min="5" max="6" width="40" customWidth="1"/>
    <col min="7" max="7" width="17.26953125" customWidth="1"/>
    <col min="8" max="8" width="32.7265625" customWidth="1"/>
    <col min="9" max="9" width="50.90625" customWidth="1"/>
    <col min="10" max="11" width="21.81640625" customWidth="1"/>
    <col min="12" max="12" width="16.36328125" customWidth="1"/>
  </cols>
  <sheetData>
    <row r="1" spans="1:12" ht="28" customHeight="1" x14ac:dyDescent="0.35">
      <c r="A1" s="17" t="s">
        <v>174</v>
      </c>
      <c r="B1" s="18" t="s">
        <v>175</v>
      </c>
      <c r="C1" s="18" t="s">
        <v>46</v>
      </c>
      <c r="D1" s="18" t="s">
        <v>176</v>
      </c>
      <c r="E1" s="18" t="s">
        <v>177</v>
      </c>
      <c r="F1" s="18" t="s">
        <v>178</v>
      </c>
      <c r="G1" s="18" t="s">
        <v>49</v>
      </c>
      <c r="H1" s="18" t="s">
        <v>51</v>
      </c>
      <c r="I1" s="18" t="s">
        <v>179</v>
      </c>
      <c r="J1" s="18" t="s">
        <v>180</v>
      </c>
      <c r="K1" s="18" t="s">
        <v>181</v>
      </c>
      <c r="L1" s="19" t="s">
        <v>182</v>
      </c>
    </row>
    <row r="2" spans="1:12" x14ac:dyDescent="0.35">
      <c r="A2" s="20" t="str">
        <f>"CC-MC-"&amp;TEXT(1000,"0000")</f>
        <v>CC-MC-1000</v>
      </c>
      <c r="B2" s="21" t="str">
        <f>"Causación Compra"</f>
        <v>Causación Compra</v>
      </c>
      <c r="C2" s="22">
        <f ca="1">mercancia!B2</f>
        <v>46048</v>
      </c>
      <c r="D2" s="68" t="str">
        <f>"143505"</f>
        <v>143505</v>
      </c>
      <c r="E2" s="21" t="str">
        <f>"Mercancías no fabricadas por la empresa"</f>
        <v>Mercancías no fabricadas por la empresa</v>
      </c>
      <c r="F2" s="21" t="str">
        <f ca="1">mercancia!C2</f>
        <v>Tornillería Nacional del Valle de Aburrá</v>
      </c>
      <c r="G2" s="23" t="str" cm="1">
        <f t="array" aca="1" ref="G2" ca="1">INDIRECT("mercancia!D"&amp;(INT((ROW()-2)/5)+2))</f>
        <v>900.890.123-8</v>
      </c>
      <c r="H2" s="21" t="str">
        <f>CHOOSE(MOD(0,3)+1,"CC-100 Bodega Central","CC-101 Sucursal Centro","CC-102 Sucursal Itagüí")</f>
        <v>CC-100 Bodega Central</v>
      </c>
      <c r="I2" s="21" t="str">
        <f ca="1">"Compra mercancía - "&amp;mercancia!E2&amp;" - "&amp;mercancia!A2</f>
        <v>Compra mercancía - Ferretería Antioqueña Ltda. - FE-1001</v>
      </c>
      <c r="J2" s="24">
        <f ca="1">mercancia!H2</f>
        <v>2758500</v>
      </c>
      <c r="K2" s="24">
        <f>0</f>
        <v>0</v>
      </c>
      <c r="L2" s="25" t="str">
        <f>mercancia!A2</f>
        <v>FE-1001</v>
      </c>
    </row>
    <row r="3" spans="1:12" x14ac:dyDescent="0.35">
      <c r="A3" s="20" t="str">
        <f>"CC-MC-"&amp;TEXT(1000,"0000")</f>
        <v>CC-MC-1000</v>
      </c>
      <c r="B3" s="21" t="str">
        <f>"Causación Compra"</f>
        <v>Causación Compra</v>
      </c>
      <c r="C3" s="22">
        <f ca="1">mercancia!B2</f>
        <v>46048</v>
      </c>
      <c r="D3" s="68" t="str">
        <f>"240805"</f>
        <v>240805</v>
      </c>
      <c r="E3" s="21" t="str">
        <f>"IVA descontable - 19%"</f>
        <v>IVA descontable - 19%</v>
      </c>
      <c r="F3" s="21" t="str">
        <f ca="1">mercancia!C2</f>
        <v>Tornillería Nacional del Valle de Aburrá</v>
      </c>
      <c r="G3" s="23" t="str" cm="1">
        <f t="array" aca="1" ref="G3" ca="1">INDIRECT("mercancia!D"&amp;(INT((ROW()-2)/5)+2))</f>
        <v>900.890.123-8</v>
      </c>
      <c r="H3" s="21" t="str">
        <f>CHOOSE(MOD(0,3)+1,"CC-100 Bodega Central","CC-101 Sucursal Centro","CC-102 Sucursal Itagüí")</f>
        <v>CC-100 Bodega Central</v>
      </c>
      <c r="I3" s="21" t="str">
        <f>"IVA descontable factura "&amp;mercancia!A2</f>
        <v>IVA descontable factura FE-1001</v>
      </c>
      <c r="J3" s="24">
        <f ca="1">mercancia!I2</f>
        <v>524115</v>
      </c>
      <c r="K3" s="24">
        <f>0</f>
        <v>0</v>
      </c>
      <c r="L3" s="25" t="str">
        <f>mercancia!A2</f>
        <v>FE-1001</v>
      </c>
    </row>
    <row r="4" spans="1:12" x14ac:dyDescent="0.35">
      <c r="A4" s="20" t="str">
        <f>"CC-MC-"&amp;TEXT(1000,"0000")</f>
        <v>CC-MC-1000</v>
      </c>
      <c r="B4" s="21" t="str">
        <f>"Causación Compra"</f>
        <v>Causación Compra</v>
      </c>
      <c r="C4" s="22">
        <f ca="1">mercancia!B2</f>
        <v>46048</v>
      </c>
      <c r="D4" s="68" t="str">
        <f>"236540"</f>
        <v>236540</v>
      </c>
      <c r="E4" s="21" t="str">
        <f>"Retención en la fuente - Compras"</f>
        <v>Retención en la fuente - Compras</v>
      </c>
      <c r="F4" s="21" t="str">
        <f ca="1">mercancia!C2</f>
        <v>Tornillería Nacional del Valle de Aburrá</v>
      </c>
      <c r="G4" s="23" t="str" cm="1">
        <f t="array" aca="1" ref="G4" ca="1">INDIRECT("mercancia!D"&amp;(INT((ROW()-2)/5)+2))</f>
        <v>900.890.123-8</v>
      </c>
      <c r="H4" s="21" t="str">
        <f>CHOOSE(MOD(0,3)+1,"CC-100 Bodega Central","CC-101 Sucursal Centro","CC-102 Sucursal Itagüí")</f>
        <v>CC-100 Bodega Central</v>
      </c>
      <c r="I4" s="21" t="str">
        <f ca="1">"ReteFuente "&amp;TEXT(mercancia!K2,"0.0%")&amp;" sobre compra "&amp;mercancia!A2</f>
        <v>ReteFuente 04% sobre compra FE-1001</v>
      </c>
      <c r="J4" s="24">
        <f>0</f>
        <v>0</v>
      </c>
      <c r="K4" s="24">
        <f ca="1">mercancia!L2</f>
        <v>96548</v>
      </c>
      <c r="L4" s="25" t="str">
        <f>mercancia!A2</f>
        <v>FE-1001</v>
      </c>
    </row>
    <row r="5" spans="1:12" x14ac:dyDescent="0.35">
      <c r="A5" s="20" t="str">
        <f>"CC-MC-"&amp;TEXT(1000,"0000")</f>
        <v>CC-MC-1000</v>
      </c>
      <c r="B5" s="21" t="str">
        <f>"Causación Compra"</f>
        <v>Causación Compra</v>
      </c>
      <c r="C5" s="22">
        <f ca="1">mercancia!B2</f>
        <v>46048</v>
      </c>
      <c r="D5" s="68" t="str">
        <f>"236805"</f>
        <v>236805</v>
      </c>
      <c r="E5" s="21" t="str">
        <f>"Retención ICA - Medellín 11.04‰"</f>
        <v>Retención ICA - Medellín 11.04‰</v>
      </c>
      <c r="F5" s="21" t="str">
        <f ca="1">mercancia!C2</f>
        <v>Tornillería Nacional del Valle de Aburrá</v>
      </c>
      <c r="G5" s="23" t="str" cm="1">
        <f t="array" aca="1" ref="G5" ca="1">INDIRECT("mercancia!D"&amp;(INT((ROW()-2)/5)+2))</f>
        <v>900.890.123-8</v>
      </c>
      <c r="H5" s="21" t="str">
        <f>CHOOSE(MOD(0,3)+1,"CC-100 Bodega Central","CC-101 Sucursal Centro","CC-102 Sucursal Itagüí")</f>
        <v>CC-100 Bodega Central</v>
      </c>
      <c r="I5" s="21" t="str">
        <f>"ReteICA Medellín sobre compra "&amp;mercancia!A2</f>
        <v>ReteICA Medellín sobre compra FE-1001</v>
      </c>
      <c r="J5" s="24">
        <f>0</f>
        <v>0</v>
      </c>
      <c r="K5" s="24">
        <f ca="1">mercancia!N2</f>
        <v>30454</v>
      </c>
      <c r="L5" s="25" t="str">
        <f>mercancia!A2</f>
        <v>FE-1001</v>
      </c>
    </row>
    <row r="6" spans="1:12" x14ac:dyDescent="0.35">
      <c r="A6" s="20" t="str">
        <f>"CC-MC-"&amp;TEXT(1000,"0000")</f>
        <v>CC-MC-1000</v>
      </c>
      <c r="B6" s="21" t="str">
        <f>"Causación Compra"</f>
        <v>Causación Compra</v>
      </c>
      <c r="C6" s="22">
        <f ca="1">mercancia!B2</f>
        <v>46048</v>
      </c>
      <c r="D6" s="68" t="str">
        <f>"220505"</f>
        <v>220505</v>
      </c>
      <c r="E6" s="21" t="str">
        <f>"Proveedores nacionales"</f>
        <v>Proveedores nacionales</v>
      </c>
      <c r="F6" s="21" t="str">
        <f ca="1">mercancia!C2</f>
        <v>Tornillería Nacional del Valle de Aburrá</v>
      </c>
      <c r="G6" s="23" t="str" cm="1">
        <f t="array" aca="1" ref="G6" ca="1">INDIRECT("mercancia!D"&amp;(INT((ROW()-2)/5)+2))</f>
        <v>900.890.123-8</v>
      </c>
      <c r="H6" s="21" t="str">
        <f>CHOOSE(MOD(0,3)+1,"CC-100 Bodega Central","CC-101 Sucursal Centro","CC-102 Sucursal Itagüí")</f>
        <v>CC-100 Bodega Central</v>
      </c>
      <c r="I6" s="21" t="str">
        <f>"Cuenta por pagar proveedor - "&amp;mercancia!A2</f>
        <v>Cuenta por pagar proveedor - FE-1001</v>
      </c>
      <c r="J6" s="24">
        <f>0</f>
        <v>0</v>
      </c>
      <c r="K6" s="24">
        <f ca="1">mercancia!O2</f>
        <v>3155613</v>
      </c>
      <c r="L6" s="25" t="str">
        <f>mercancia!A2</f>
        <v>FE-1001</v>
      </c>
    </row>
    <row r="7" spans="1:12" x14ac:dyDescent="0.35">
      <c r="A7" s="26" t="str">
        <f>"CC-MC-"&amp;TEXT(1001,"0000")</f>
        <v>CC-MC-1001</v>
      </c>
      <c r="B7" s="27" t="str">
        <f>"Causación Compra"</f>
        <v>Causación Compra</v>
      </c>
      <c r="C7" s="28">
        <f ca="1">mercancia!B3</f>
        <v>46046</v>
      </c>
      <c r="D7" s="69" t="str">
        <f>"143505"</f>
        <v>143505</v>
      </c>
      <c r="E7" s="27" t="str">
        <f>"Mercancías no fabricadas por la empresa"</f>
        <v>Mercancías no fabricadas por la empresa</v>
      </c>
      <c r="F7" s="27" t="str">
        <f ca="1">mercancia!C3</f>
        <v>Ferretería Antioqueña Ltda.</v>
      </c>
      <c r="G7" s="29" t="str" cm="1">
        <f t="array" aca="1" ref="G7" ca="1">INDIRECT("mercancia!D"&amp;(INT((ROW()-2)/5)+2))</f>
        <v>900.234.567-2</v>
      </c>
      <c r="H7" s="27" t="str">
        <f>CHOOSE(MOD(1,3)+1,"CC-100 Bodega Central","CC-101 Sucursal Centro","CC-102 Sucursal Itagüí")</f>
        <v>CC-101 Sucursal Centro</v>
      </c>
      <c r="I7" s="27" t="str">
        <f ca="1">"Compra mercancía - "&amp;mercancia!E3&amp;" - "&amp;mercancia!A3</f>
        <v>Compra mercancía - Lámina de drywall 1.22x2.44m - FE-1002</v>
      </c>
      <c r="J7" s="30">
        <f ca="1">mercancia!H3</f>
        <v>2716200</v>
      </c>
      <c r="K7" s="30">
        <f>0</f>
        <v>0</v>
      </c>
      <c r="L7" s="31" t="str">
        <f>mercancia!A3</f>
        <v>FE-1002</v>
      </c>
    </row>
    <row r="8" spans="1:12" x14ac:dyDescent="0.35">
      <c r="A8" s="26" t="str">
        <f>"CC-MC-"&amp;TEXT(1001,"0000")</f>
        <v>CC-MC-1001</v>
      </c>
      <c r="B8" s="27" t="str">
        <f>"Causación Compra"</f>
        <v>Causación Compra</v>
      </c>
      <c r="C8" s="28">
        <f ca="1">mercancia!B3</f>
        <v>46046</v>
      </c>
      <c r="D8" s="69" t="str">
        <f>"240805"</f>
        <v>240805</v>
      </c>
      <c r="E8" s="27" t="str">
        <f>"IVA descontable - 19%"</f>
        <v>IVA descontable - 19%</v>
      </c>
      <c r="F8" s="27" t="str">
        <f ca="1">mercancia!C3</f>
        <v>Ferretería Antioqueña Ltda.</v>
      </c>
      <c r="G8" s="29" t="str" cm="1">
        <f t="array" aca="1" ref="G8" ca="1">INDIRECT("mercancia!D"&amp;(INT((ROW()-2)/5)+2))</f>
        <v>900.234.567-2</v>
      </c>
      <c r="H8" s="27" t="str">
        <f>CHOOSE(MOD(1,3)+1,"CC-100 Bodega Central","CC-101 Sucursal Centro","CC-102 Sucursal Itagüí")</f>
        <v>CC-101 Sucursal Centro</v>
      </c>
      <c r="I8" s="27" t="str">
        <f>"IVA descontable factura "&amp;mercancia!A3</f>
        <v>IVA descontable factura FE-1002</v>
      </c>
      <c r="J8" s="30">
        <f ca="1">mercancia!I3</f>
        <v>516078</v>
      </c>
      <c r="K8" s="30">
        <f>0</f>
        <v>0</v>
      </c>
      <c r="L8" s="31" t="str">
        <f>mercancia!A3</f>
        <v>FE-1002</v>
      </c>
    </row>
    <row r="9" spans="1:12" x14ac:dyDescent="0.35">
      <c r="A9" s="26" t="str">
        <f>"CC-MC-"&amp;TEXT(1001,"0000")</f>
        <v>CC-MC-1001</v>
      </c>
      <c r="B9" s="27" t="str">
        <f>"Causación Compra"</f>
        <v>Causación Compra</v>
      </c>
      <c r="C9" s="28">
        <f ca="1">mercancia!B3</f>
        <v>46046</v>
      </c>
      <c r="D9" s="69" t="str">
        <f>"236540"</f>
        <v>236540</v>
      </c>
      <c r="E9" s="27" t="str">
        <f>"Retención en la fuente - Compras"</f>
        <v>Retención en la fuente - Compras</v>
      </c>
      <c r="F9" s="27" t="str">
        <f ca="1">mercancia!C3</f>
        <v>Ferretería Antioqueña Ltda.</v>
      </c>
      <c r="G9" s="29" t="str" cm="1">
        <f t="array" aca="1" ref="G9" ca="1">INDIRECT("mercancia!D"&amp;(INT((ROW()-2)/5)+2))</f>
        <v>900.234.567-2</v>
      </c>
      <c r="H9" s="27" t="str">
        <f>CHOOSE(MOD(1,3)+1,"CC-100 Bodega Central","CC-101 Sucursal Centro","CC-102 Sucursal Itagüí")</f>
        <v>CC-101 Sucursal Centro</v>
      </c>
      <c r="I9" s="27" t="str">
        <f ca="1">"ReteFuente "&amp;TEXT(mercancia!K3,"0.0%")&amp;" sobre compra "&amp;mercancia!A3</f>
        <v>ReteFuente 03% sobre compra FE-1002</v>
      </c>
      <c r="J9" s="30">
        <f>0</f>
        <v>0</v>
      </c>
      <c r="K9" s="30">
        <f ca="1">mercancia!L3</f>
        <v>67905</v>
      </c>
      <c r="L9" s="31" t="str">
        <f>mercancia!A3</f>
        <v>FE-1002</v>
      </c>
    </row>
    <row r="10" spans="1:12" x14ac:dyDescent="0.35">
      <c r="A10" s="26" t="str">
        <f>"CC-MC-"&amp;TEXT(1001,"0000")</f>
        <v>CC-MC-1001</v>
      </c>
      <c r="B10" s="27" t="str">
        <f>"Causación Compra"</f>
        <v>Causación Compra</v>
      </c>
      <c r="C10" s="28">
        <f ca="1">mercancia!B3</f>
        <v>46046</v>
      </c>
      <c r="D10" s="69" t="str">
        <f>"236805"</f>
        <v>236805</v>
      </c>
      <c r="E10" s="27" t="str">
        <f>"Retención ICA - Medellín 11.04‰"</f>
        <v>Retención ICA - Medellín 11.04‰</v>
      </c>
      <c r="F10" s="27" t="str">
        <f ca="1">mercancia!C3</f>
        <v>Ferretería Antioqueña Ltda.</v>
      </c>
      <c r="G10" s="29" t="str" cm="1">
        <f t="array" aca="1" ref="G10" ca="1">INDIRECT("mercancia!D"&amp;(INT((ROW()-2)/5)+2))</f>
        <v>900.234.567-2</v>
      </c>
      <c r="H10" s="27" t="str">
        <f>CHOOSE(MOD(1,3)+1,"CC-100 Bodega Central","CC-101 Sucursal Centro","CC-102 Sucursal Itagüí")</f>
        <v>CC-101 Sucursal Centro</v>
      </c>
      <c r="I10" s="27" t="str">
        <f>"ReteICA Medellín sobre compra "&amp;mercancia!A3</f>
        <v>ReteICA Medellín sobre compra FE-1002</v>
      </c>
      <c r="J10" s="30">
        <f>0</f>
        <v>0</v>
      </c>
      <c r="K10" s="30">
        <f ca="1">mercancia!N3</f>
        <v>29987</v>
      </c>
      <c r="L10" s="31" t="str">
        <f>mercancia!A3</f>
        <v>FE-1002</v>
      </c>
    </row>
    <row r="11" spans="1:12" x14ac:dyDescent="0.35">
      <c r="A11" s="26" t="str">
        <f>"CC-MC-"&amp;TEXT(1001,"0000")</f>
        <v>CC-MC-1001</v>
      </c>
      <c r="B11" s="27" t="str">
        <f>"Causación Compra"</f>
        <v>Causación Compra</v>
      </c>
      <c r="C11" s="28">
        <f ca="1">mercancia!B3</f>
        <v>46046</v>
      </c>
      <c r="D11" s="69" t="str">
        <f>"220505"</f>
        <v>220505</v>
      </c>
      <c r="E11" s="27" t="str">
        <f>"Proveedores nacionales"</f>
        <v>Proveedores nacionales</v>
      </c>
      <c r="F11" s="27" t="str">
        <f ca="1">mercancia!C3</f>
        <v>Ferretería Antioqueña Ltda.</v>
      </c>
      <c r="G11" s="29" t="str" cm="1">
        <f t="array" aca="1" ref="G11" ca="1">INDIRECT("mercancia!D"&amp;(INT((ROW()-2)/5)+2))</f>
        <v>900.234.567-2</v>
      </c>
      <c r="H11" s="27" t="str">
        <f>CHOOSE(MOD(1,3)+1,"CC-100 Bodega Central","CC-101 Sucursal Centro","CC-102 Sucursal Itagüí")</f>
        <v>CC-101 Sucursal Centro</v>
      </c>
      <c r="I11" s="27" t="str">
        <f>"Cuenta por pagar proveedor - "&amp;mercancia!A3</f>
        <v>Cuenta por pagar proveedor - FE-1002</v>
      </c>
      <c r="J11" s="30">
        <f>0</f>
        <v>0</v>
      </c>
      <c r="K11" s="30">
        <f ca="1">mercancia!O3</f>
        <v>3134386</v>
      </c>
      <c r="L11" s="31" t="str">
        <f>mercancia!A3</f>
        <v>FE-1002</v>
      </c>
    </row>
    <row r="12" spans="1:12" x14ac:dyDescent="0.35">
      <c r="A12" s="20" t="str">
        <f>"CC-MC-"&amp;TEXT(1002,"0000")</f>
        <v>CC-MC-1002</v>
      </c>
      <c r="B12" s="21" t="str">
        <f>"Causación Compra"</f>
        <v>Causación Compra</v>
      </c>
      <c r="C12" s="22">
        <f ca="1">mercancia!B4</f>
        <v>46066</v>
      </c>
      <c r="D12" s="68" t="str">
        <f>"143505"</f>
        <v>143505</v>
      </c>
      <c r="E12" s="21" t="str">
        <f>"Mercancías no fabricadas por la empresa"</f>
        <v>Mercancías no fabricadas por la empresa</v>
      </c>
      <c r="F12" s="21" t="str">
        <f ca="1">mercancia!C4</f>
        <v>Hierros y Mallas Bello S.A.S.</v>
      </c>
      <c r="G12" s="23" t="str" cm="1">
        <f t="array" aca="1" ref="G12" ca="1">INDIRECT("mercancia!D"&amp;(INT((ROW()-2)/5)+2))</f>
        <v>900.901.234-9</v>
      </c>
      <c r="H12" s="21" t="str">
        <f>CHOOSE(MOD(2,3)+1,"CC-100 Bodega Central","CC-101 Sucursal Centro","CC-102 Sucursal Itagüí")</f>
        <v>CC-102 Sucursal Itagüí</v>
      </c>
      <c r="I12" s="21" t="str">
        <f ca="1">"Compra mercancía - "&amp;mercancia!E4&amp;" - "&amp;mercancia!A4</f>
        <v>Compra mercancía - Triturado 1/2" - bulto - FE-1003</v>
      </c>
      <c r="J12" s="24">
        <f ca="1">mercancia!H4</f>
        <v>11327400</v>
      </c>
      <c r="K12" s="24">
        <f>0</f>
        <v>0</v>
      </c>
      <c r="L12" s="25" t="str">
        <f>mercancia!A4</f>
        <v>FE-1003</v>
      </c>
    </row>
    <row r="13" spans="1:12" x14ac:dyDescent="0.35">
      <c r="A13" s="20" t="str">
        <f>"CC-MC-"&amp;TEXT(1002,"0000")</f>
        <v>CC-MC-1002</v>
      </c>
      <c r="B13" s="21" t="str">
        <f>"Causación Compra"</f>
        <v>Causación Compra</v>
      </c>
      <c r="C13" s="22">
        <f ca="1">mercancia!B4</f>
        <v>46066</v>
      </c>
      <c r="D13" s="68" t="str">
        <f>"240805"</f>
        <v>240805</v>
      </c>
      <c r="E13" s="21" t="str">
        <f>"IVA descontable - 19%"</f>
        <v>IVA descontable - 19%</v>
      </c>
      <c r="F13" s="21" t="str">
        <f ca="1">mercancia!C4</f>
        <v>Hierros y Mallas Bello S.A.S.</v>
      </c>
      <c r="G13" s="23" t="str" cm="1">
        <f t="array" aca="1" ref="G13" ca="1">INDIRECT("mercancia!D"&amp;(INT((ROW()-2)/5)+2))</f>
        <v>900.901.234-9</v>
      </c>
      <c r="H13" s="21" t="str">
        <f>CHOOSE(MOD(2,3)+1,"CC-100 Bodega Central","CC-101 Sucursal Centro","CC-102 Sucursal Itagüí")</f>
        <v>CC-102 Sucursal Itagüí</v>
      </c>
      <c r="I13" s="21" t="str">
        <f>"IVA descontable factura "&amp;mercancia!A4</f>
        <v>IVA descontable factura FE-1003</v>
      </c>
      <c r="J13" s="24">
        <f ca="1">mercancia!I4</f>
        <v>2152206</v>
      </c>
      <c r="K13" s="24">
        <f>0</f>
        <v>0</v>
      </c>
      <c r="L13" s="25" t="str">
        <f>mercancia!A4</f>
        <v>FE-1003</v>
      </c>
    </row>
    <row r="14" spans="1:12" x14ac:dyDescent="0.35">
      <c r="A14" s="20" t="str">
        <f>"CC-MC-"&amp;TEXT(1002,"0000")</f>
        <v>CC-MC-1002</v>
      </c>
      <c r="B14" s="21" t="str">
        <f>"Causación Compra"</f>
        <v>Causación Compra</v>
      </c>
      <c r="C14" s="22">
        <f ca="1">mercancia!B4</f>
        <v>46066</v>
      </c>
      <c r="D14" s="68" t="str">
        <f>"236540"</f>
        <v>236540</v>
      </c>
      <c r="E14" s="21" t="str">
        <f>"Retención en la fuente - Compras"</f>
        <v>Retención en la fuente - Compras</v>
      </c>
      <c r="F14" s="21" t="str">
        <f ca="1">mercancia!C4</f>
        <v>Hierros y Mallas Bello S.A.S.</v>
      </c>
      <c r="G14" s="23" t="str" cm="1">
        <f t="array" aca="1" ref="G14" ca="1">INDIRECT("mercancia!D"&amp;(INT((ROW()-2)/5)+2))</f>
        <v>900.901.234-9</v>
      </c>
      <c r="H14" s="21" t="str">
        <f>CHOOSE(MOD(2,3)+1,"CC-100 Bodega Central","CC-101 Sucursal Centro","CC-102 Sucursal Itagüí")</f>
        <v>CC-102 Sucursal Itagüí</v>
      </c>
      <c r="I14" s="21" t="str">
        <f ca="1">"ReteFuente "&amp;TEXT(mercancia!K4,"0.0%")&amp;" sobre compra "&amp;mercancia!A4</f>
        <v>ReteFuente 03% sobre compra FE-1003</v>
      </c>
      <c r="J14" s="24">
        <f>0</f>
        <v>0</v>
      </c>
      <c r="K14" s="24">
        <f ca="1">mercancia!L4</f>
        <v>283185</v>
      </c>
      <c r="L14" s="25" t="str">
        <f>mercancia!A4</f>
        <v>FE-1003</v>
      </c>
    </row>
    <row r="15" spans="1:12" x14ac:dyDescent="0.35">
      <c r="A15" s="20" t="str">
        <f>"CC-MC-"&amp;TEXT(1002,"0000")</f>
        <v>CC-MC-1002</v>
      </c>
      <c r="B15" s="21" t="str">
        <f>"Causación Compra"</f>
        <v>Causación Compra</v>
      </c>
      <c r="C15" s="22">
        <f ca="1">mercancia!B4</f>
        <v>46066</v>
      </c>
      <c r="D15" s="68" t="str">
        <f>"236805"</f>
        <v>236805</v>
      </c>
      <c r="E15" s="21" t="str">
        <f>"Retención ICA - Medellín 11.04‰"</f>
        <v>Retención ICA - Medellín 11.04‰</v>
      </c>
      <c r="F15" s="21" t="str">
        <f ca="1">mercancia!C4</f>
        <v>Hierros y Mallas Bello S.A.S.</v>
      </c>
      <c r="G15" s="23" t="str" cm="1">
        <f t="array" aca="1" ref="G15" ca="1">INDIRECT("mercancia!D"&amp;(INT((ROW()-2)/5)+2))</f>
        <v>900.901.234-9</v>
      </c>
      <c r="H15" s="21" t="str">
        <f>CHOOSE(MOD(2,3)+1,"CC-100 Bodega Central","CC-101 Sucursal Centro","CC-102 Sucursal Itagüí")</f>
        <v>CC-102 Sucursal Itagüí</v>
      </c>
      <c r="I15" s="21" t="str">
        <f>"ReteICA Medellín sobre compra "&amp;mercancia!A4</f>
        <v>ReteICA Medellín sobre compra FE-1003</v>
      </c>
      <c r="J15" s="24">
        <f>0</f>
        <v>0</v>
      </c>
      <c r="K15" s="24">
        <f ca="1">mercancia!N4</f>
        <v>125054</v>
      </c>
      <c r="L15" s="25" t="str">
        <f>mercancia!A4</f>
        <v>FE-1003</v>
      </c>
    </row>
    <row r="16" spans="1:12" x14ac:dyDescent="0.35">
      <c r="A16" s="20" t="str">
        <f>"CC-MC-"&amp;TEXT(1002,"0000")</f>
        <v>CC-MC-1002</v>
      </c>
      <c r="B16" s="21" t="str">
        <f>"Causación Compra"</f>
        <v>Causación Compra</v>
      </c>
      <c r="C16" s="22">
        <f ca="1">mercancia!B4</f>
        <v>46066</v>
      </c>
      <c r="D16" s="68" t="str">
        <f>"220505"</f>
        <v>220505</v>
      </c>
      <c r="E16" s="21" t="str">
        <f>"Proveedores nacionales"</f>
        <v>Proveedores nacionales</v>
      </c>
      <c r="F16" s="21" t="str">
        <f ca="1">mercancia!C4</f>
        <v>Hierros y Mallas Bello S.A.S.</v>
      </c>
      <c r="G16" s="23" t="str" cm="1">
        <f t="array" aca="1" ref="G16" ca="1">INDIRECT("mercancia!D"&amp;(INT((ROW()-2)/5)+2))</f>
        <v>900.901.234-9</v>
      </c>
      <c r="H16" s="21" t="str">
        <f>CHOOSE(MOD(2,3)+1,"CC-100 Bodega Central","CC-101 Sucursal Centro","CC-102 Sucursal Itagüí")</f>
        <v>CC-102 Sucursal Itagüí</v>
      </c>
      <c r="I16" s="21" t="str">
        <f>"Cuenta por pagar proveedor - "&amp;mercancia!A4</f>
        <v>Cuenta por pagar proveedor - FE-1003</v>
      </c>
      <c r="J16" s="24">
        <f>0</f>
        <v>0</v>
      </c>
      <c r="K16" s="24">
        <f ca="1">mercancia!O4</f>
        <v>13071367</v>
      </c>
      <c r="L16" s="25" t="str">
        <f>mercancia!A4</f>
        <v>FE-1003</v>
      </c>
    </row>
    <row r="17" spans="1:12" x14ac:dyDescent="0.35">
      <c r="A17" s="26" t="str">
        <f>"CC-MC-"&amp;TEXT(1003,"0000")</f>
        <v>CC-MC-1003</v>
      </c>
      <c r="B17" s="27" t="str">
        <f>"Causación Compra"</f>
        <v>Causación Compra</v>
      </c>
      <c r="C17" s="28">
        <f ca="1">mercancia!B5</f>
        <v>46037</v>
      </c>
      <c r="D17" s="69" t="str">
        <f>"143505"</f>
        <v>143505</v>
      </c>
      <c r="E17" s="27" t="str">
        <f>"Mercancías no fabricadas por la empresa"</f>
        <v>Mercancías no fabricadas por la empresa</v>
      </c>
      <c r="F17" s="27" t="str">
        <f ca="1">mercancia!C5</f>
        <v>Cementos y Materiales Paisa S.A.</v>
      </c>
      <c r="G17" s="29" t="str" cm="1">
        <f t="array" aca="1" ref="G17" ca="1">INDIRECT("mercancia!D"&amp;(INT((ROW()-2)/5)+2))</f>
        <v>900.456.789-4</v>
      </c>
      <c r="H17" s="27" t="str">
        <f>CHOOSE(MOD(3,3)+1,"CC-100 Bodega Central","CC-101 Sucursal Centro","CC-102 Sucursal Itagüí")</f>
        <v>CC-100 Bodega Central</v>
      </c>
      <c r="I17" s="27" t="str">
        <f ca="1">"Compra mercancía - "&amp;mercancia!E5&amp;" - "&amp;mercancia!A5</f>
        <v>Compra mercancía - Bloque de concreto 10x20x40 - FE-1004</v>
      </c>
      <c r="J17" s="30">
        <f ca="1">mercancia!H5</f>
        <v>5130000</v>
      </c>
      <c r="K17" s="30">
        <f>0</f>
        <v>0</v>
      </c>
      <c r="L17" s="31" t="str">
        <f>mercancia!A5</f>
        <v>FE-1004</v>
      </c>
    </row>
    <row r="18" spans="1:12" x14ac:dyDescent="0.35">
      <c r="A18" s="26" t="str">
        <f>"CC-MC-"&amp;TEXT(1003,"0000")</f>
        <v>CC-MC-1003</v>
      </c>
      <c r="B18" s="27" t="str">
        <f>"Causación Compra"</f>
        <v>Causación Compra</v>
      </c>
      <c r="C18" s="28">
        <f ca="1">mercancia!B5</f>
        <v>46037</v>
      </c>
      <c r="D18" s="69" t="str">
        <f>"240805"</f>
        <v>240805</v>
      </c>
      <c r="E18" s="27" t="str">
        <f>"IVA descontable - 19%"</f>
        <v>IVA descontable - 19%</v>
      </c>
      <c r="F18" s="27" t="str">
        <f ca="1">mercancia!C5</f>
        <v>Cementos y Materiales Paisa S.A.</v>
      </c>
      <c r="G18" s="29" t="str" cm="1">
        <f t="array" aca="1" ref="G18" ca="1">INDIRECT("mercancia!D"&amp;(INT((ROW()-2)/5)+2))</f>
        <v>900.456.789-4</v>
      </c>
      <c r="H18" s="27" t="str">
        <f>CHOOSE(MOD(3,3)+1,"CC-100 Bodega Central","CC-101 Sucursal Centro","CC-102 Sucursal Itagüí")</f>
        <v>CC-100 Bodega Central</v>
      </c>
      <c r="I18" s="27" t="str">
        <f>"IVA descontable factura "&amp;mercancia!A5</f>
        <v>IVA descontable factura FE-1004</v>
      </c>
      <c r="J18" s="30">
        <f ca="1">mercancia!I5</f>
        <v>974700</v>
      </c>
      <c r="K18" s="30">
        <f>0</f>
        <v>0</v>
      </c>
      <c r="L18" s="31" t="str">
        <f>mercancia!A5</f>
        <v>FE-1004</v>
      </c>
    </row>
    <row r="19" spans="1:12" x14ac:dyDescent="0.35">
      <c r="A19" s="26" t="str">
        <f>"CC-MC-"&amp;TEXT(1003,"0000")</f>
        <v>CC-MC-1003</v>
      </c>
      <c r="B19" s="27" t="str">
        <f>"Causación Compra"</f>
        <v>Causación Compra</v>
      </c>
      <c r="C19" s="28">
        <f ca="1">mercancia!B5</f>
        <v>46037</v>
      </c>
      <c r="D19" s="69" t="str">
        <f>"236540"</f>
        <v>236540</v>
      </c>
      <c r="E19" s="27" t="str">
        <f>"Retención en la fuente - Compras"</f>
        <v>Retención en la fuente - Compras</v>
      </c>
      <c r="F19" s="27" t="str">
        <f ca="1">mercancia!C5</f>
        <v>Cementos y Materiales Paisa S.A.</v>
      </c>
      <c r="G19" s="29" t="str" cm="1">
        <f t="array" aca="1" ref="G19" ca="1">INDIRECT("mercancia!D"&amp;(INT((ROW()-2)/5)+2))</f>
        <v>900.456.789-4</v>
      </c>
      <c r="H19" s="27" t="str">
        <f>CHOOSE(MOD(3,3)+1,"CC-100 Bodega Central","CC-101 Sucursal Centro","CC-102 Sucursal Itagüí")</f>
        <v>CC-100 Bodega Central</v>
      </c>
      <c r="I19" s="27" t="str">
        <f ca="1">"ReteFuente "&amp;TEXT(mercancia!K5,"0.0%")&amp;" sobre compra "&amp;mercancia!A5</f>
        <v>ReteFuente 03% sobre compra FE-1004</v>
      </c>
      <c r="J19" s="30">
        <f>0</f>
        <v>0</v>
      </c>
      <c r="K19" s="30">
        <f ca="1">mercancia!L5</f>
        <v>128250</v>
      </c>
      <c r="L19" s="31" t="str">
        <f>mercancia!A5</f>
        <v>FE-1004</v>
      </c>
    </row>
    <row r="20" spans="1:12" x14ac:dyDescent="0.35">
      <c r="A20" s="26" t="str">
        <f>"CC-MC-"&amp;TEXT(1003,"0000")</f>
        <v>CC-MC-1003</v>
      </c>
      <c r="B20" s="27" t="str">
        <f>"Causación Compra"</f>
        <v>Causación Compra</v>
      </c>
      <c r="C20" s="28">
        <f ca="1">mercancia!B5</f>
        <v>46037</v>
      </c>
      <c r="D20" s="69" t="str">
        <f>"236805"</f>
        <v>236805</v>
      </c>
      <c r="E20" s="27" t="str">
        <f>"Retención ICA - Medellín 11.04‰"</f>
        <v>Retención ICA - Medellín 11.04‰</v>
      </c>
      <c r="F20" s="27" t="str">
        <f ca="1">mercancia!C5</f>
        <v>Cementos y Materiales Paisa S.A.</v>
      </c>
      <c r="G20" s="29" t="str" cm="1">
        <f t="array" aca="1" ref="G20" ca="1">INDIRECT("mercancia!D"&amp;(INT((ROW()-2)/5)+2))</f>
        <v>900.456.789-4</v>
      </c>
      <c r="H20" s="27" t="str">
        <f>CHOOSE(MOD(3,3)+1,"CC-100 Bodega Central","CC-101 Sucursal Centro","CC-102 Sucursal Itagüí")</f>
        <v>CC-100 Bodega Central</v>
      </c>
      <c r="I20" s="27" t="str">
        <f>"ReteICA Medellín sobre compra "&amp;mercancia!A5</f>
        <v>ReteICA Medellín sobre compra FE-1004</v>
      </c>
      <c r="J20" s="30">
        <f>0</f>
        <v>0</v>
      </c>
      <c r="K20" s="30">
        <f ca="1">mercancia!N5</f>
        <v>56635</v>
      </c>
      <c r="L20" s="31" t="str">
        <f>mercancia!A5</f>
        <v>FE-1004</v>
      </c>
    </row>
    <row r="21" spans="1:12" x14ac:dyDescent="0.35">
      <c r="A21" s="26" t="str">
        <f>"CC-MC-"&amp;TEXT(1003,"0000")</f>
        <v>CC-MC-1003</v>
      </c>
      <c r="B21" s="27" t="str">
        <f>"Causación Compra"</f>
        <v>Causación Compra</v>
      </c>
      <c r="C21" s="28">
        <f ca="1">mercancia!B5</f>
        <v>46037</v>
      </c>
      <c r="D21" s="69" t="str">
        <f>"220505"</f>
        <v>220505</v>
      </c>
      <c r="E21" s="27" t="str">
        <f>"Proveedores nacionales"</f>
        <v>Proveedores nacionales</v>
      </c>
      <c r="F21" s="27" t="str">
        <f ca="1">mercancia!C5</f>
        <v>Cementos y Materiales Paisa S.A.</v>
      </c>
      <c r="G21" s="29" t="str" cm="1">
        <f t="array" aca="1" ref="G21" ca="1">INDIRECT("mercancia!D"&amp;(INT((ROW()-2)/5)+2))</f>
        <v>900.456.789-4</v>
      </c>
      <c r="H21" s="27" t="str">
        <f>CHOOSE(MOD(3,3)+1,"CC-100 Bodega Central","CC-101 Sucursal Centro","CC-102 Sucursal Itagüí")</f>
        <v>CC-100 Bodega Central</v>
      </c>
      <c r="I21" s="27" t="str">
        <f>"Cuenta por pagar proveedor - "&amp;mercancia!A5</f>
        <v>Cuenta por pagar proveedor - FE-1004</v>
      </c>
      <c r="J21" s="30">
        <f>0</f>
        <v>0</v>
      </c>
      <c r="K21" s="30">
        <f ca="1">mercancia!O5</f>
        <v>5919815</v>
      </c>
      <c r="L21" s="31" t="str">
        <f>mercancia!A5</f>
        <v>FE-1004</v>
      </c>
    </row>
    <row r="22" spans="1:12" x14ac:dyDescent="0.35">
      <c r="A22" s="20" t="str">
        <f>"CC-MC-"&amp;TEXT(1004,"0000")</f>
        <v>CC-MC-1004</v>
      </c>
      <c r="B22" s="21" t="str">
        <f>"Causación Compra"</f>
        <v>Causación Compra</v>
      </c>
      <c r="C22" s="22">
        <f ca="1">mercancia!B6</f>
        <v>46140</v>
      </c>
      <c r="D22" s="68" t="str">
        <f>"143505"</f>
        <v>143505</v>
      </c>
      <c r="E22" s="21" t="str">
        <f>"Mercancías no fabricadas por la empresa"</f>
        <v>Mercancías no fabricadas por la empresa</v>
      </c>
      <c r="F22" s="21" t="str">
        <f ca="1">mercancia!C6</f>
        <v>Aceros de la Montaña S.A.S.</v>
      </c>
      <c r="G22" s="23" t="str" cm="1">
        <f t="array" aca="1" ref="G22" ca="1">INDIRECT("mercancia!D"&amp;(INT((ROW()-2)/5)+2))</f>
        <v>900.123.456-1</v>
      </c>
      <c r="H22" s="21" t="str">
        <f>CHOOSE(MOD(4,3)+1,"CC-100 Bodega Central","CC-101 Sucursal Centro","CC-102 Sucursal Itagüí")</f>
        <v>CC-101 Sucursal Centro</v>
      </c>
      <c r="I22" s="21" t="str">
        <f ca="1">"Compra mercancía - "&amp;mercancia!E6&amp;" - "&amp;mercancia!A6</f>
        <v>Compra mercancía - Herramientas Industriales Medellín S.A.S. - FE-1005</v>
      </c>
      <c r="J22" s="24">
        <f ca="1">mercancia!H6</f>
        <v>24042400</v>
      </c>
      <c r="K22" s="24">
        <f>0</f>
        <v>0</v>
      </c>
      <c r="L22" s="25" t="str">
        <f>mercancia!A6</f>
        <v>FE-1005</v>
      </c>
    </row>
    <row r="23" spans="1:12" x14ac:dyDescent="0.35">
      <c r="A23" s="20" t="str">
        <f>"CC-MC-"&amp;TEXT(1004,"0000")</f>
        <v>CC-MC-1004</v>
      </c>
      <c r="B23" s="21" t="str">
        <f>"Causación Compra"</f>
        <v>Causación Compra</v>
      </c>
      <c r="C23" s="22">
        <f ca="1">mercancia!B6</f>
        <v>46140</v>
      </c>
      <c r="D23" s="68" t="str">
        <f>"240805"</f>
        <v>240805</v>
      </c>
      <c r="E23" s="21" t="str">
        <f>"IVA descontable - 19%"</f>
        <v>IVA descontable - 19%</v>
      </c>
      <c r="F23" s="21" t="str">
        <f ca="1">mercancia!C6</f>
        <v>Aceros de la Montaña S.A.S.</v>
      </c>
      <c r="G23" s="23" t="str" cm="1">
        <f t="array" aca="1" ref="G23" ca="1">INDIRECT("mercancia!D"&amp;(INT((ROW()-2)/5)+2))</f>
        <v>900.123.456-1</v>
      </c>
      <c r="H23" s="21" t="str">
        <f>CHOOSE(MOD(4,3)+1,"CC-100 Bodega Central","CC-101 Sucursal Centro","CC-102 Sucursal Itagüí")</f>
        <v>CC-101 Sucursal Centro</v>
      </c>
      <c r="I23" s="21" t="str">
        <f>"IVA descontable factura "&amp;mercancia!A6</f>
        <v>IVA descontable factura FE-1005</v>
      </c>
      <c r="J23" s="24">
        <f ca="1">mercancia!I6</f>
        <v>4568056</v>
      </c>
      <c r="K23" s="24">
        <f>0</f>
        <v>0</v>
      </c>
      <c r="L23" s="25" t="str">
        <f>mercancia!A6</f>
        <v>FE-1005</v>
      </c>
    </row>
    <row r="24" spans="1:12" x14ac:dyDescent="0.35">
      <c r="A24" s="20" t="str">
        <f>"CC-MC-"&amp;TEXT(1004,"0000")</f>
        <v>CC-MC-1004</v>
      </c>
      <c r="B24" s="21" t="str">
        <f>"Causación Compra"</f>
        <v>Causación Compra</v>
      </c>
      <c r="C24" s="22">
        <f ca="1">mercancia!B6</f>
        <v>46140</v>
      </c>
      <c r="D24" s="68" t="str">
        <f>"236540"</f>
        <v>236540</v>
      </c>
      <c r="E24" s="21" t="str">
        <f>"Retención en la fuente - Compras"</f>
        <v>Retención en la fuente - Compras</v>
      </c>
      <c r="F24" s="21" t="str">
        <f ca="1">mercancia!C6</f>
        <v>Aceros de la Montaña S.A.S.</v>
      </c>
      <c r="G24" s="23" t="str" cm="1">
        <f t="array" aca="1" ref="G24" ca="1">INDIRECT("mercancia!D"&amp;(INT((ROW()-2)/5)+2))</f>
        <v>900.123.456-1</v>
      </c>
      <c r="H24" s="21" t="str">
        <f>CHOOSE(MOD(4,3)+1,"CC-100 Bodega Central","CC-101 Sucursal Centro","CC-102 Sucursal Itagüí")</f>
        <v>CC-101 Sucursal Centro</v>
      </c>
      <c r="I24" s="21" t="str">
        <f ca="1">"ReteFuente "&amp;TEXT(mercancia!K6,"0.0%")&amp;" sobre compra "&amp;mercancia!A6</f>
        <v>ReteFuente 04% sobre compra FE-1005</v>
      </c>
      <c r="J24" s="24">
        <f>0</f>
        <v>0</v>
      </c>
      <c r="K24" s="24">
        <f ca="1">mercancia!L6</f>
        <v>841484</v>
      </c>
      <c r="L24" s="25" t="str">
        <f>mercancia!A6</f>
        <v>FE-1005</v>
      </c>
    </row>
    <row r="25" spans="1:12" x14ac:dyDescent="0.35">
      <c r="A25" s="20" t="str">
        <f>"CC-MC-"&amp;TEXT(1004,"0000")</f>
        <v>CC-MC-1004</v>
      </c>
      <c r="B25" s="21" t="str">
        <f>"Causación Compra"</f>
        <v>Causación Compra</v>
      </c>
      <c r="C25" s="22">
        <f ca="1">mercancia!B6</f>
        <v>46140</v>
      </c>
      <c r="D25" s="68" t="str">
        <f>"236805"</f>
        <v>236805</v>
      </c>
      <c r="E25" s="21" t="str">
        <f>"Retención ICA - Medellín 11.04‰"</f>
        <v>Retención ICA - Medellín 11.04‰</v>
      </c>
      <c r="F25" s="21" t="str">
        <f ca="1">mercancia!C6</f>
        <v>Aceros de la Montaña S.A.S.</v>
      </c>
      <c r="G25" s="23" t="str" cm="1">
        <f t="array" aca="1" ref="G25" ca="1">INDIRECT("mercancia!D"&amp;(INT((ROW()-2)/5)+2))</f>
        <v>900.123.456-1</v>
      </c>
      <c r="H25" s="21" t="str">
        <f>CHOOSE(MOD(4,3)+1,"CC-100 Bodega Central","CC-101 Sucursal Centro","CC-102 Sucursal Itagüí")</f>
        <v>CC-101 Sucursal Centro</v>
      </c>
      <c r="I25" s="21" t="str">
        <f>"ReteICA Medellín sobre compra "&amp;mercancia!A6</f>
        <v>ReteICA Medellín sobre compra FE-1005</v>
      </c>
      <c r="J25" s="24">
        <f>0</f>
        <v>0</v>
      </c>
      <c r="K25" s="24">
        <f ca="1">mercancia!N6</f>
        <v>265428</v>
      </c>
      <c r="L25" s="25" t="str">
        <f>mercancia!A6</f>
        <v>FE-1005</v>
      </c>
    </row>
    <row r="26" spans="1:12" x14ac:dyDescent="0.35">
      <c r="A26" s="20" t="str">
        <f>"CC-MC-"&amp;TEXT(1004,"0000")</f>
        <v>CC-MC-1004</v>
      </c>
      <c r="B26" s="21" t="str">
        <f>"Causación Compra"</f>
        <v>Causación Compra</v>
      </c>
      <c r="C26" s="22">
        <f ca="1">mercancia!B6</f>
        <v>46140</v>
      </c>
      <c r="D26" s="68" t="str">
        <f>"220505"</f>
        <v>220505</v>
      </c>
      <c r="E26" s="21" t="str">
        <f>"Proveedores nacionales"</f>
        <v>Proveedores nacionales</v>
      </c>
      <c r="F26" s="21" t="str">
        <f ca="1">mercancia!C6</f>
        <v>Aceros de la Montaña S.A.S.</v>
      </c>
      <c r="G26" s="23" t="str" cm="1">
        <f t="array" aca="1" ref="G26" ca="1">INDIRECT("mercancia!D"&amp;(INT((ROW()-2)/5)+2))</f>
        <v>900.123.456-1</v>
      </c>
      <c r="H26" s="21" t="str">
        <f>CHOOSE(MOD(4,3)+1,"CC-100 Bodega Central","CC-101 Sucursal Centro","CC-102 Sucursal Itagüí")</f>
        <v>CC-101 Sucursal Centro</v>
      </c>
      <c r="I26" s="21" t="str">
        <f>"Cuenta por pagar proveedor - "&amp;mercancia!A6</f>
        <v>Cuenta por pagar proveedor - FE-1005</v>
      </c>
      <c r="J26" s="24">
        <f>0</f>
        <v>0</v>
      </c>
      <c r="K26" s="24">
        <f ca="1">mercancia!O6</f>
        <v>27503544</v>
      </c>
      <c r="L26" s="25" t="str">
        <f>mercancia!A6</f>
        <v>FE-1005</v>
      </c>
    </row>
    <row r="27" spans="1:12" x14ac:dyDescent="0.35">
      <c r="A27" s="26" t="str">
        <f>"CC-MC-"&amp;TEXT(1005,"0000")</f>
        <v>CC-MC-1005</v>
      </c>
      <c r="B27" s="27" t="str">
        <f>"Causación Compra"</f>
        <v>Causación Compra</v>
      </c>
      <c r="C27" s="28">
        <f ca="1">mercancia!B7</f>
        <v>46025</v>
      </c>
      <c r="D27" s="69" t="str">
        <f>"143505"</f>
        <v>143505</v>
      </c>
      <c r="E27" s="27" t="str">
        <f>"Mercancías no fabricadas por la empresa"</f>
        <v>Mercancías no fabricadas por la empresa</v>
      </c>
      <c r="F27" s="27" t="str">
        <f ca="1">mercancia!C7</f>
        <v>Pinturas y Acabados Aburrá S.A.S.</v>
      </c>
      <c r="G27" s="29" t="str" cm="1">
        <f t="array" aca="1" ref="G27" ca="1">INDIRECT("mercancia!D"&amp;(INT((ROW()-2)/5)+2))</f>
        <v>900.789.012-7</v>
      </c>
      <c r="H27" s="27" t="str">
        <f>CHOOSE(MOD(5,3)+1,"CC-100 Bodega Central","CC-101 Sucursal Centro","CC-102 Sucursal Itagüí")</f>
        <v>CC-102 Sucursal Itagüí</v>
      </c>
      <c r="I27" s="27" t="str">
        <f ca="1">"Compra mercancía - "&amp;mercancia!E7&amp;" - "&amp;mercancia!A7</f>
        <v>Compra mercancía - Herramientas Industriales Medellín S.A.S. - FE-1006</v>
      </c>
      <c r="J27" s="30">
        <f ca="1">mercancia!H7</f>
        <v>9391200</v>
      </c>
      <c r="K27" s="30">
        <f>0</f>
        <v>0</v>
      </c>
      <c r="L27" s="31" t="str">
        <f>mercancia!A7</f>
        <v>FE-1006</v>
      </c>
    </row>
    <row r="28" spans="1:12" x14ac:dyDescent="0.35">
      <c r="A28" s="26" t="str">
        <f>"CC-MC-"&amp;TEXT(1005,"0000")</f>
        <v>CC-MC-1005</v>
      </c>
      <c r="B28" s="27" t="str">
        <f>"Causación Compra"</f>
        <v>Causación Compra</v>
      </c>
      <c r="C28" s="28">
        <f ca="1">mercancia!B7</f>
        <v>46025</v>
      </c>
      <c r="D28" s="69" t="str">
        <f>"240805"</f>
        <v>240805</v>
      </c>
      <c r="E28" s="27" t="str">
        <f>"IVA descontable - 19%"</f>
        <v>IVA descontable - 19%</v>
      </c>
      <c r="F28" s="27" t="str">
        <f ca="1">mercancia!C7</f>
        <v>Pinturas y Acabados Aburrá S.A.S.</v>
      </c>
      <c r="G28" s="29" t="str" cm="1">
        <f t="array" aca="1" ref="G28" ca="1">INDIRECT("mercancia!D"&amp;(INT((ROW()-2)/5)+2))</f>
        <v>900.789.012-7</v>
      </c>
      <c r="H28" s="27" t="str">
        <f>CHOOSE(MOD(5,3)+1,"CC-100 Bodega Central","CC-101 Sucursal Centro","CC-102 Sucursal Itagüí")</f>
        <v>CC-102 Sucursal Itagüí</v>
      </c>
      <c r="I28" s="27" t="str">
        <f>"IVA descontable factura "&amp;mercancia!A7</f>
        <v>IVA descontable factura FE-1006</v>
      </c>
      <c r="J28" s="30">
        <f ca="1">mercancia!I7</f>
        <v>1784328</v>
      </c>
      <c r="K28" s="30">
        <f>0</f>
        <v>0</v>
      </c>
      <c r="L28" s="31" t="str">
        <f>mercancia!A7</f>
        <v>FE-1006</v>
      </c>
    </row>
    <row r="29" spans="1:12" x14ac:dyDescent="0.35">
      <c r="A29" s="26" t="str">
        <f>"CC-MC-"&amp;TEXT(1005,"0000")</f>
        <v>CC-MC-1005</v>
      </c>
      <c r="B29" s="27" t="str">
        <f>"Causación Compra"</f>
        <v>Causación Compra</v>
      </c>
      <c r="C29" s="28">
        <f ca="1">mercancia!B7</f>
        <v>46025</v>
      </c>
      <c r="D29" s="69" t="str">
        <f>"236540"</f>
        <v>236540</v>
      </c>
      <c r="E29" s="27" t="str">
        <f>"Retención en la fuente - Compras"</f>
        <v>Retención en la fuente - Compras</v>
      </c>
      <c r="F29" s="27" t="str">
        <f ca="1">mercancia!C7</f>
        <v>Pinturas y Acabados Aburrá S.A.S.</v>
      </c>
      <c r="G29" s="29" t="str" cm="1">
        <f t="array" aca="1" ref="G29" ca="1">INDIRECT("mercancia!D"&amp;(INT((ROW()-2)/5)+2))</f>
        <v>900.789.012-7</v>
      </c>
      <c r="H29" s="27" t="str">
        <f>CHOOSE(MOD(5,3)+1,"CC-100 Bodega Central","CC-101 Sucursal Centro","CC-102 Sucursal Itagüí")</f>
        <v>CC-102 Sucursal Itagüí</v>
      </c>
      <c r="I29" s="27" t="str">
        <f ca="1">"ReteFuente "&amp;TEXT(mercancia!K7,"0.0%")&amp;" sobre compra "&amp;mercancia!A7</f>
        <v>ReteFuente 03% sobre compra FE-1006</v>
      </c>
      <c r="J29" s="30">
        <f>0</f>
        <v>0</v>
      </c>
      <c r="K29" s="30">
        <f ca="1">mercancia!L7</f>
        <v>234780</v>
      </c>
      <c r="L29" s="31" t="str">
        <f>mercancia!A7</f>
        <v>FE-1006</v>
      </c>
    </row>
    <row r="30" spans="1:12" x14ac:dyDescent="0.35">
      <c r="A30" s="26" t="str">
        <f>"CC-MC-"&amp;TEXT(1005,"0000")</f>
        <v>CC-MC-1005</v>
      </c>
      <c r="B30" s="27" t="str">
        <f>"Causación Compra"</f>
        <v>Causación Compra</v>
      </c>
      <c r="C30" s="28">
        <f ca="1">mercancia!B7</f>
        <v>46025</v>
      </c>
      <c r="D30" s="69" t="str">
        <f>"236805"</f>
        <v>236805</v>
      </c>
      <c r="E30" s="27" t="str">
        <f>"Retención ICA - Medellín 11.04‰"</f>
        <v>Retención ICA - Medellín 11.04‰</v>
      </c>
      <c r="F30" s="27" t="str">
        <f ca="1">mercancia!C7</f>
        <v>Pinturas y Acabados Aburrá S.A.S.</v>
      </c>
      <c r="G30" s="29" t="str" cm="1">
        <f t="array" aca="1" ref="G30" ca="1">INDIRECT("mercancia!D"&amp;(INT((ROW()-2)/5)+2))</f>
        <v>900.789.012-7</v>
      </c>
      <c r="H30" s="27" t="str">
        <f>CHOOSE(MOD(5,3)+1,"CC-100 Bodega Central","CC-101 Sucursal Centro","CC-102 Sucursal Itagüí")</f>
        <v>CC-102 Sucursal Itagüí</v>
      </c>
      <c r="I30" s="27" t="str">
        <f>"ReteICA Medellín sobre compra "&amp;mercancia!A7</f>
        <v>ReteICA Medellín sobre compra FE-1006</v>
      </c>
      <c r="J30" s="30">
        <f>0</f>
        <v>0</v>
      </c>
      <c r="K30" s="30">
        <f ca="1">mercancia!N7</f>
        <v>103679</v>
      </c>
      <c r="L30" s="31" t="str">
        <f>mercancia!A7</f>
        <v>FE-1006</v>
      </c>
    </row>
    <row r="31" spans="1:12" x14ac:dyDescent="0.35">
      <c r="A31" s="26" t="str">
        <f>"CC-MC-"&amp;TEXT(1005,"0000")</f>
        <v>CC-MC-1005</v>
      </c>
      <c r="B31" s="27" t="str">
        <f>"Causación Compra"</f>
        <v>Causación Compra</v>
      </c>
      <c r="C31" s="28">
        <f ca="1">mercancia!B7</f>
        <v>46025</v>
      </c>
      <c r="D31" s="69" t="str">
        <f>"220505"</f>
        <v>220505</v>
      </c>
      <c r="E31" s="27" t="str">
        <f>"Proveedores nacionales"</f>
        <v>Proveedores nacionales</v>
      </c>
      <c r="F31" s="27" t="str">
        <f ca="1">mercancia!C7</f>
        <v>Pinturas y Acabados Aburrá S.A.S.</v>
      </c>
      <c r="G31" s="29" t="str" cm="1">
        <f t="array" aca="1" ref="G31" ca="1">INDIRECT("mercancia!D"&amp;(INT((ROW()-2)/5)+2))</f>
        <v>900.789.012-7</v>
      </c>
      <c r="H31" s="27" t="str">
        <f>CHOOSE(MOD(5,3)+1,"CC-100 Bodega Central","CC-101 Sucursal Centro","CC-102 Sucursal Itagüí")</f>
        <v>CC-102 Sucursal Itagüí</v>
      </c>
      <c r="I31" s="27" t="str">
        <f>"Cuenta por pagar proveedor - "&amp;mercancia!A7</f>
        <v>Cuenta por pagar proveedor - FE-1006</v>
      </c>
      <c r="J31" s="30">
        <f>0</f>
        <v>0</v>
      </c>
      <c r="K31" s="30">
        <f ca="1">mercancia!O7</f>
        <v>10837069</v>
      </c>
      <c r="L31" s="31" t="str">
        <f>mercancia!A7</f>
        <v>FE-1006</v>
      </c>
    </row>
    <row r="32" spans="1:12" x14ac:dyDescent="0.35">
      <c r="A32" s="20" t="str">
        <f>"CC-MC-"&amp;TEXT(1006,"0000")</f>
        <v>CC-MC-1006</v>
      </c>
      <c r="B32" s="21" t="str">
        <f>"Causación Compra"</f>
        <v>Causación Compra</v>
      </c>
      <c r="C32" s="22">
        <f ca="1">mercancia!B8</f>
        <v>46120</v>
      </c>
      <c r="D32" s="68" t="str">
        <f>"143505"</f>
        <v>143505</v>
      </c>
      <c r="E32" s="21" t="str">
        <f>"Mercancías no fabricadas por la empresa"</f>
        <v>Mercancías no fabricadas por la empresa</v>
      </c>
      <c r="F32" s="21" t="str">
        <f ca="1">mercancia!C8</f>
        <v>Tornillería Nacional del Valle de Aburrá</v>
      </c>
      <c r="G32" s="23" t="str" cm="1">
        <f t="array" aca="1" ref="G32" ca="1">INDIRECT("mercancia!D"&amp;(INT((ROW()-2)/5)+2))</f>
        <v>900.890.123-8</v>
      </c>
      <c r="H32" s="21" t="str">
        <f>CHOOSE(MOD(6,3)+1,"CC-100 Bodega Central","CC-101 Sucursal Centro","CC-102 Sucursal Itagüí")</f>
        <v>CC-100 Bodega Central</v>
      </c>
      <c r="I32" s="21" t="str">
        <f ca="1">"Compra mercancía - "&amp;mercancia!E8&amp;" - "&amp;mercancia!A8</f>
        <v>Compra mercancía - Tornillería Nacional del Valle de Aburrá - FE-1007</v>
      </c>
      <c r="J32" s="24">
        <f ca="1">mercancia!H8</f>
        <v>142000</v>
      </c>
      <c r="K32" s="24">
        <f>0</f>
        <v>0</v>
      </c>
      <c r="L32" s="25" t="str">
        <f>mercancia!A8</f>
        <v>FE-1007</v>
      </c>
    </row>
    <row r="33" spans="1:12" x14ac:dyDescent="0.35">
      <c r="A33" s="20" t="str">
        <f>"CC-MC-"&amp;TEXT(1006,"0000")</f>
        <v>CC-MC-1006</v>
      </c>
      <c r="B33" s="21" t="str">
        <f>"Causación Compra"</f>
        <v>Causación Compra</v>
      </c>
      <c r="C33" s="22">
        <f ca="1">mercancia!B8</f>
        <v>46120</v>
      </c>
      <c r="D33" s="68" t="str">
        <f>"240805"</f>
        <v>240805</v>
      </c>
      <c r="E33" s="21" t="str">
        <f>"IVA descontable - 19%"</f>
        <v>IVA descontable - 19%</v>
      </c>
      <c r="F33" s="21" t="str">
        <f ca="1">mercancia!C8</f>
        <v>Tornillería Nacional del Valle de Aburrá</v>
      </c>
      <c r="G33" s="23" t="str" cm="1">
        <f t="array" aca="1" ref="G33" ca="1">INDIRECT("mercancia!D"&amp;(INT((ROW()-2)/5)+2))</f>
        <v>900.890.123-8</v>
      </c>
      <c r="H33" s="21" t="str">
        <f>CHOOSE(MOD(6,3)+1,"CC-100 Bodega Central","CC-101 Sucursal Centro","CC-102 Sucursal Itagüí")</f>
        <v>CC-100 Bodega Central</v>
      </c>
      <c r="I33" s="21" t="str">
        <f>"IVA descontable factura "&amp;mercancia!A8</f>
        <v>IVA descontable factura FE-1007</v>
      </c>
      <c r="J33" s="24">
        <f ca="1">mercancia!I8</f>
        <v>26980</v>
      </c>
      <c r="K33" s="24">
        <f>0</f>
        <v>0</v>
      </c>
      <c r="L33" s="25" t="str">
        <f>mercancia!A8</f>
        <v>FE-1007</v>
      </c>
    </row>
    <row r="34" spans="1:12" x14ac:dyDescent="0.35">
      <c r="A34" s="20" t="str">
        <f>"CC-MC-"&amp;TEXT(1006,"0000")</f>
        <v>CC-MC-1006</v>
      </c>
      <c r="B34" s="21" t="str">
        <f>"Causación Compra"</f>
        <v>Causación Compra</v>
      </c>
      <c r="C34" s="22">
        <f ca="1">mercancia!B8</f>
        <v>46120</v>
      </c>
      <c r="D34" s="68" t="str">
        <f>"236540"</f>
        <v>236540</v>
      </c>
      <c r="E34" s="21" t="str">
        <f>"Retención en la fuente - Compras"</f>
        <v>Retención en la fuente - Compras</v>
      </c>
      <c r="F34" s="21" t="str">
        <f ca="1">mercancia!C8</f>
        <v>Tornillería Nacional del Valle de Aburrá</v>
      </c>
      <c r="G34" s="23" t="str" cm="1">
        <f t="array" aca="1" ref="G34" ca="1">INDIRECT("mercancia!D"&amp;(INT((ROW()-2)/5)+2))</f>
        <v>900.890.123-8</v>
      </c>
      <c r="H34" s="21" t="str">
        <f>CHOOSE(MOD(6,3)+1,"CC-100 Bodega Central","CC-101 Sucursal Centro","CC-102 Sucursal Itagüí")</f>
        <v>CC-100 Bodega Central</v>
      </c>
      <c r="I34" s="21" t="str">
        <f ca="1">"ReteFuente "&amp;TEXT(mercancia!K8,"0.0%")&amp;" sobre compra "&amp;mercancia!A8</f>
        <v>ReteFuente 03% sobre compra FE-1007</v>
      </c>
      <c r="J34" s="24">
        <f>0</f>
        <v>0</v>
      </c>
      <c r="K34" s="24">
        <f ca="1">mercancia!L8</f>
        <v>3550</v>
      </c>
      <c r="L34" s="25" t="str">
        <f>mercancia!A8</f>
        <v>FE-1007</v>
      </c>
    </row>
    <row r="35" spans="1:12" x14ac:dyDescent="0.35">
      <c r="A35" s="20" t="str">
        <f>"CC-MC-"&amp;TEXT(1006,"0000")</f>
        <v>CC-MC-1006</v>
      </c>
      <c r="B35" s="21" t="str">
        <f>"Causación Compra"</f>
        <v>Causación Compra</v>
      </c>
      <c r="C35" s="22">
        <f ca="1">mercancia!B8</f>
        <v>46120</v>
      </c>
      <c r="D35" s="68" t="str">
        <f>"236805"</f>
        <v>236805</v>
      </c>
      <c r="E35" s="21" t="str">
        <f>"Retención ICA - Medellín 11.04‰"</f>
        <v>Retención ICA - Medellín 11.04‰</v>
      </c>
      <c r="F35" s="21" t="str">
        <f ca="1">mercancia!C8</f>
        <v>Tornillería Nacional del Valle de Aburrá</v>
      </c>
      <c r="G35" s="23" t="str" cm="1">
        <f t="array" aca="1" ref="G35" ca="1">INDIRECT("mercancia!D"&amp;(INT((ROW()-2)/5)+2))</f>
        <v>900.890.123-8</v>
      </c>
      <c r="H35" s="21" t="str">
        <f>CHOOSE(MOD(6,3)+1,"CC-100 Bodega Central","CC-101 Sucursal Centro","CC-102 Sucursal Itagüí")</f>
        <v>CC-100 Bodega Central</v>
      </c>
      <c r="I35" s="21" t="str">
        <f>"ReteICA Medellín sobre compra "&amp;mercancia!A8</f>
        <v>ReteICA Medellín sobre compra FE-1007</v>
      </c>
      <c r="J35" s="24">
        <f>0</f>
        <v>0</v>
      </c>
      <c r="K35" s="24">
        <f ca="1">mercancia!N8</f>
        <v>1568</v>
      </c>
      <c r="L35" s="25" t="str">
        <f>mercancia!A8</f>
        <v>FE-1007</v>
      </c>
    </row>
    <row r="36" spans="1:12" x14ac:dyDescent="0.35">
      <c r="A36" s="20" t="str">
        <f>"CC-MC-"&amp;TEXT(1006,"0000")</f>
        <v>CC-MC-1006</v>
      </c>
      <c r="B36" s="21" t="str">
        <f>"Causación Compra"</f>
        <v>Causación Compra</v>
      </c>
      <c r="C36" s="22">
        <f ca="1">mercancia!B8</f>
        <v>46120</v>
      </c>
      <c r="D36" s="68" t="str">
        <f>"220505"</f>
        <v>220505</v>
      </c>
      <c r="E36" s="21" t="str">
        <f>"Proveedores nacionales"</f>
        <v>Proveedores nacionales</v>
      </c>
      <c r="F36" s="21" t="str">
        <f ca="1">mercancia!C8</f>
        <v>Tornillería Nacional del Valle de Aburrá</v>
      </c>
      <c r="G36" s="23" t="str" cm="1">
        <f t="array" aca="1" ref="G36" ca="1">INDIRECT("mercancia!D"&amp;(INT((ROW()-2)/5)+2))</f>
        <v>900.890.123-8</v>
      </c>
      <c r="H36" s="21" t="str">
        <f>CHOOSE(MOD(6,3)+1,"CC-100 Bodega Central","CC-101 Sucursal Centro","CC-102 Sucursal Itagüí")</f>
        <v>CC-100 Bodega Central</v>
      </c>
      <c r="I36" s="21" t="str">
        <f>"Cuenta por pagar proveedor - "&amp;mercancia!A8</f>
        <v>Cuenta por pagar proveedor - FE-1007</v>
      </c>
      <c r="J36" s="24">
        <f>0</f>
        <v>0</v>
      </c>
      <c r="K36" s="24">
        <f ca="1">mercancia!O8</f>
        <v>163862</v>
      </c>
      <c r="L36" s="25" t="str">
        <f>mercancia!A8</f>
        <v>FE-1007</v>
      </c>
    </row>
    <row r="37" spans="1:12" x14ac:dyDescent="0.35">
      <c r="A37" s="26" t="str">
        <f>"CC-MC-"&amp;TEXT(1007,"0000")</f>
        <v>CC-MC-1007</v>
      </c>
      <c r="B37" s="27" t="str">
        <f>"Causación Compra"</f>
        <v>Causación Compra</v>
      </c>
      <c r="C37" s="28">
        <f ca="1">mercancia!B9</f>
        <v>46027</v>
      </c>
      <c r="D37" s="69" t="str">
        <f>"143505"</f>
        <v>143505</v>
      </c>
      <c r="E37" s="27" t="str">
        <f>"Mercancías no fabricadas por la empresa"</f>
        <v>Mercancías no fabricadas por la empresa</v>
      </c>
      <c r="F37" s="27" t="str">
        <f ca="1">mercancia!C9</f>
        <v>Herramientas Industriales Medellín S.A.S.</v>
      </c>
      <c r="G37" s="29" t="str" cm="1">
        <f t="array" aca="1" ref="G37" ca="1">INDIRECT("mercancia!D"&amp;(INT((ROW()-2)/5)+2))</f>
        <v>900.567.890-5</v>
      </c>
      <c r="H37" s="27" t="str">
        <f>CHOOSE(MOD(7,3)+1,"CC-100 Bodega Central","CC-101 Sucursal Centro","CC-102 Sucursal Itagüí")</f>
        <v>CC-101 Sucursal Centro</v>
      </c>
      <c r="I37" s="27" t="str">
        <f ca="1">"Compra mercancía - "&amp;mercancia!E9&amp;" - "&amp;mercancia!A9</f>
        <v>Compra mercancía - Ladrillo tolete macizo - FE-1008</v>
      </c>
      <c r="J37" s="30">
        <f ca="1">mercancia!H9</f>
        <v>2073900</v>
      </c>
      <c r="K37" s="30">
        <f>0</f>
        <v>0</v>
      </c>
      <c r="L37" s="31" t="str">
        <f>mercancia!A9</f>
        <v>FE-1008</v>
      </c>
    </row>
    <row r="38" spans="1:12" x14ac:dyDescent="0.35">
      <c r="A38" s="26" t="str">
        <f>"CC-MC-"&amp;TEXT(1007,"0000")</f>
        <v>CC-MC-1007</v>
      </c>
      <c r="B38" s="27" t="str">
        <f>"Causación Compra"</f>
        <v>Causación Compra</v>
      </c>
      <c r="C38" s="28">
        <f ca="1">mercancia!B9</f>
        <v>46027</v>
      </c>
      <c r="D38" s="69" t="str">
        <f>"240805"</f>
        <v>240805</v>
      </c>
      <c r="E38" s="27" t="str">
        <f>"IVA descontable - 19%"</f>
        <v>IVA descontable - 19%</v>
      </c>
      <c r="F38" s="27" t="str">
        <f ca="1">mercancia!C9</f>
        <v>Herramientas Industriales Medellín S.A.S.</v>
      </c>
      <c r="G38" s="29" t="str" cm="1">
        <f t="array" aca="1" ref="G38" ca="1">INDIRECT("mercancia!D"&amp;(INT((ROW()-2)/5)+2))</f>
        <v>900.567.890-5</v>
      </c>
      <c r="H38" s="27" t="str">
        <f>CHOOSE(MOD(7,3)+1,"CC-100 Bodega Central","CC-101 Sucursal Centro","CC-102 Sucursal Itagüí")</f>
        <v>CC-101 Sucursal Centro</v>
      </c>
      <c r="I38" s="27" t="str">
        <f>"IVA descontable factura "&amp;mercancia!A9</f>
        <v>IVA descontable factura FE-1008</v>
      </c>
      <c r="J38" s="30">
        <f ca="1">mercancia!I9</f>
        <v>394041</v>
      </c>
      <c r="K38" s="30">
        <f>0</f>
        <v>0</v>
      </c>
      <c r="L38" s="31" t="str">
        <f>mercancia!A9</f>
        <v>FE-1008</v>
      </c>
    </row>
    <row r="39" spans="1:12" x14ac:dyDescent="0.35">
      <c r="A39" s="26" t="str">
        <f>"CC-MC-"&amp;TEXT(1007,"0000")</f>
        <v>CC-MC-1007</v>
      </c>
      <c r="B39" s="27" t="str">
        <f>"Causación Compra"</f>
        <v>Causación Compra</v>
      </c>
      <c r="C39" s="28">
        <f ca="1">mercancia!B9</f>
        <v>46027</v>
      </c>
      <c r="D39" s="69" t="str">
        <f>"236540"</f>
        <v>236540</v>
      </c>
      <c r="E39" s="27" t="str">
        <f>"Retención en la fuente - Compras"</f>
        <v>Retención en la fuente - Compras</v>
      </c>
      <c r="F39" s="27" t="str">
        <f ca="1">mercancia!C9</f>
        <v>Herramientas Industriales Medellín S.A.S.</v>
      </c>
      <c r="G39" s="29" t="str" cm="1">
        <f t="array" aca="1" ref="G39" ca="1">INDIRECT("mercancia!D"&amp;(INT((ROW()-2)/5)+2))</f>
        <v>900.567.890-5</v>
      </c>
      <c r="H39" s="27" t="str">
        <f>CHOOSE(MOD(7,3)+1,"CC-100 Bodega Central","CC-101 Sucursal Centro","CC-102 Sucursal Itagüí")</f>
        <v>CC-101 Sucursal Centro</v>
      </c>
      <c r="I39" s="27" t="str">
        <f ca="1">"ReteFuente "&amp;TEXT(mercancia!K9,"0.0%")&amp;" sobre compra "&amp;mercancia!A9</f>
        <v>ReteFuente 04% sobre compra FE-1008</v>
      </c>
      <c r="J39" s="30">
        <f>0</f>
        <v>0</v>
      </c>
      <c r="K39" s="30">
        <f ca="1">mercancia!L9</f>
        <v>72587</v>
      </c>
      <c r="L39" s="31" t="str">
        <f>mercancia!A9</f>
        <v>FE-1008</v>
      </c>
    </row>
    <row r="40" spans="1:12" x14ac:dyDescent="0.35">
      <c r="A40" s="26" t="str">
        <f>"CC-MC-"&amp;TEXT(1007,"0000")</f>
        <v>CC-MC-1007</v>
      </c>
      <c r="B40" s="27" t="str">
        <f>"Causación Compra"</f>
        <v>Causación Compra</v>
      </c>
      <c r="C40" s="28">
        <f ca="1">mercancia!B9</f>
        <v>46027</v>
      </c>
      <c r="D40" s="69" t="str">
        <f>"236805"</f>
        <v>236805</v>
      </c>
      <c r="E40" s="27" t="str">
        <f>"Retención ICA - Medellín 11.04‰"</f>
        <v>Retención ICA - Medellín 11.04‰</v>
      </c>
      <c r="F40" s="27" t="str">
        <f ca="1">mercancia!C9</f>
        <v>Herramientas Industriales Medellín S.A.S.</v>
      </c>
      <c r="G40" s="29" t="str" cm="1">
        <f t="array" aca="1" ref="G40" ca="1">INDIRECT("mercancia!D"&amp;(INT((ROW()-2)/5)+2))</f>
        <v>900.567.890-5</v>
      </c>
      <c r="H40" s="27" t="str">
        <f>CHOOSE(MOD(7,3)+1,"CC-100 Bodega Central","CC-101 Sucursal Centro","CC-102 Sucursal Itagüí")</f>
        <v>CC-101 Sucursal Centro</v>
      </c>
      <c r="I40" s="27" t="str">
        <f>"ReteICA Medellín sobre compra "&amp;mercancia!A9</f>
        <v>ReteICA Medellín sobre compra FE-1008</v>
      </c>
      <c r="J40" s="30">
        <f>0</f>
        <v>0</v>
      </c>
      <c r="K40" s="30">
        <f ca="1">mercancia!N9</f>
        <v>22896</v>
      </c>
      <c r="L40" s="31" t="str">
        <f>mercancia!A9</f>
        <v>FE-1008</v>
      </c>
    </row>
    <row r="41" spans="1:12" x14ac:dyDescent="0.35">
      <c r="A41" s="26" t="str">
        <f>"CC-MC-"&amp;TEXT(1007,"0000")</f>
        <v>CC-MC-1007</v>
      </c>
      <c r="B41" s="27" t="str">
        <f>"Causación Compra"</f>
        <v>Causación Compra</v>
      </c>
      <c r="C41" s="28">
        <f ca="1">mercancia!B9</f>
        <v>46027</v>
      </c>
      <c r="D41" s="69" t="str">
        <f>"220505"</f>
        <v>220505</v>
      </c>
      <c r="E41" s="27" t="str">
        <f>"Proveedores nacionales"</f>
        <v>Proveedores nacionales</v>
      </c>
      <c r="F41" s="27" t="str">
        <f ca="1">mercancia!C9</f>
        <v>Herramientas Industriales Medellín S.A.S.</v>
      </c>
      <c r="G41" s="29" t="str" cm="1">
        <f t="array" aca="1" ref="G41" ca="1">INDIRECT("mercancia!D"&amp;(INT((ROW()-2)/5)+2))</f>
        <v>900.567.890-5</v>
      </c>
      <c r="H41" s="27" t="str">
        <f>CHOOSE(MOD(7,3)+1,"CC-100 Bodega Central","CC-101 Sucursal Centro","CC-102 Sucursal Itagüí")</f>
        <v>CC-101 Sucursal Centro</v>
      </c>
      <c r="I41" s="27" t="str">
        <f>"Cuenta por pagar proveedor - "&amp;mercancia!A9</f>
        <v>Cuenta por pagar proveedor - FE-1008</v>
      </c>
      <c r="J41" s="30">
        <f>0</f>
        <v>0</v>
      </c>
      <c r="K41" s="30">
        <f ca="1">mercancia!O9</f>
        <v>2372458</v>
      </c>
      <c r="L41" s="31" t="str">
        <f>mercancia!A9</f>
        <v>FE-1008</v>
      </c>
    </row>
    <row r="42" spans="1:12" x14ac:dyDescent="0.35">
      <c r="A42" s="20" t="str">
        <f>"CC-MC-"&amp;TEXT(1008,"0000")</f>
        <v>CC-MC-1008</v>
      </c>
      <c r="B42" s="21" t="str">
        <f>"Causación Compra"</f>
        <v>Causación Compra</v>
      </c>
      <c r="C42" s="22">
        <f ca="1">mercancia!B10</f>
        <v>46037</v>
      </c>
      <c r="D42" s="68" t="str">
        <f>"143505"</f>
        <v>143505</v>
      </c>
      <c r="E42" s="21" t="str">
        <f>"Mercancías no fabricadas por la empresa"</f>
        <v>Mercancías no fabricadas por la empresa</v>
      </c>
      <c r="F42" s="21" t="str">
        <f ca="1">mercancia!C10</f>
        <v>Tubos y Conexiones Envigado Ltda.</v>
      </c>
      <c r="G42" s="23" t="str" cm="1">
        <f t="array" aca="1" ref="G42" ca="1">INDIRECT("mercancia!D"&amp;(INT((ROW()-2)/5)+2))</f>
        <v>901.012.345-0</v>
      </c>
      <c r="H42" s="21" t="str">
        <f>CHOOSE(MOD(8,3)+1,"CC-100 Bodega Central","CC-101 Sucursal Centro","CC-102 Sucursal Itagüí")</f>
        <v>CC-102 Sucursal Itagüí</v>
      </c>
      <c r="I42" s="21" t="str">
        <f ca="1">"Compra mercancía - "&amp;mercancia!E10&amp;" - "&amp;mercancia!A10</f>
        <v>Compra mercancía - Destornillador de pala 1/4" - FE-1009</v>
      </c>
      <c r="J42" s="24">
        <f ca="1">mercancia!H10</f>
        <v>4264200</v>
      </c>
      <c r="K42" s="24">
        <f>0</f>
        <v>0</v>
      </c>
      <c r="L42" s="25" t="str">
        <f>mercancia!A10</f>
        <v>FE-1009</v>
      </c>
    </row>
    <row r="43" spans="1:12" x14ac:dyDescent="0.35">
      <c r="A43" s="20" t="str">
        <f>"CC-MC-"&amp;TEXT(1008,"0000")</f>
        <v>CC-MC-1008</v>
      </c>
      <c r="B43" s="21" t="str">
        <f>"Causación Compra"</f>
        <v>Causación Compra</v>
      </c>
      <c r="C43" s="22">
        <f ca="1">mercancia!B10</f>
        <v>46037</v>
      </c>
      <c r="D43" s="68" t="str">
        <f>"240805"</f>
        <v>240805</v>
      </c>
      <c r="E43" s="21" t="str">
        <f>"IVA descontable - 19%"</f>
        <v>IVA descontable - 19%</v>
      </c>
      <c r="F43" s="21" t="str">
        <f ca="1">mercancia!C10</f>
        <v>Tubos y Conexiones Envigado Ltda.</v>
      </c>
      <c r="G43" s="23" t="str" cm="1">
        <f t="array" aca="1" ref="G43" ca="1">INDIRECT("mercancia!D"&amp;(INT((ROW()-2)/5)+2))</f>
        <v>901.012.345-0</v>
      </c>
      <c r="H43" s="21" t="str">
        <f>CHOOSE(MOD(8,3)+1,"CC-100 Bodega Central","CC-101 Sucursal Centro","CC-102 Sucursal Itagüí")</f>
        <v>CC-102 Sucursal Itagüí</v>
      </c>
      <c r="I43" s="21" t="str">
        <f>"IVA descontable factura "&amp;mercancia!A10</f>
        <v>IVA descontable factura FE-1009</v>
      </c>
      <c r="J43" s="24">
        <f ca="1">mercancia!I10</f>
        <v>810198</v>
      </c>
      <c r="K43" s="24">
        <f>0</f>
        <v>0</v>
      </c>
      <c r="L43" s="25" t="str">
        <f>mercancia!A10</f>
        <v>FE-1009</v>
      </c>
    </row>
    <row r="44" spans="1:12" x14ac:dyDescent="0.35">
      <c r="A44" s="20" t="str">
        <f>"CC-MC-"&amp;TEXT(1008,"0000")</f>
        <v>CC-MC-1008</v>
      </c>
      <c r="B44" s="21" t="str">
        <f>"Causación Compra"</f>
        <v>Causación Compra</v>
      </c>
      <c r="C44" s="22">
        <f ca="1">mercancia!B10</f>
        <v>46037</v>
      </c>
      <c r="D44" s="68" t="str">
        <f>"236540"</f>
        <v>236540</v>
      </c>
      <c r="E44" s="21" t="str">
        <f>"Retención en la fuente - Compras"</f>
        <v>Retención en la fuente - Compras</v>
      </c>
      <c r="F44" s="21" t="str">
        <f ca="1">mercancia!C10</f>
        <v>Tubos y Conexiones Envigado Ltda.</v>
      </c>
      <c r="G44" s="23" t="str" cm="1">
        <f t="array" aca="1" ref="G44" ca="1">INDIRECT("mercancia!D"&amp;(INT((ROW()-2)/5)+2))</f>
        <v>901.012.345-0</v>
      </c>
      <c r="H44" s="21" t="str">
        <f>CHOOSE(MOD(8,3)+1,"CC-100 Bodega Central","CC-101 Sucursal Centro","CC-102 Sucursal Itagüí")</f>
        <v>CC-102 Sucursal Itagüí</v>
      </c>
      <c r="I44" s="21" t="str">
        <f ca="1">"ReteFuente "&amp;TEXT(mercancia!K10,"0.0%")&amp;" sobre compra "&amp;mercancia!A10</f>
        <v>ReteFuente 03% sobre compra FE-1009</v>
      </c>
      <c r="J44" s="24">
        <f>0</f>
        <v>0</v>
      </c>
      <c r="K44" s="24">
        <f ca="1">mercancia!L10</f>
        <v>106605</v>
      </c>
      <c r="L44" s="25" t="str">
        <f>mercancia!A10</f>
        <v>FE-1009</v>
      </c>
    </row>
    <row r="45" spans="1:12" x14ac:dyDescent="0.35">
      <c r="A45" s="20" t="str">
        <f>"CC-MC-"&amp;TEXT(1008,"0000")</f>
        <v>CC-MC-1008</v>
      </c>
      <c r="B45" s="21" t="str">
        <f>"Causación Compra"</f>
        <v>Causación Compra</v>
      </c>
      <c r="C45" s="22">
        <f ca="1">mercancia!B10</f>
        <v>46037</v>
      </c>
      <c r="D45" s="68" t="str">
        <f>"236805"</f>
        <v>236805</v>
      </c>
      <c r="E45" s="21" t="str">
        <f>"Retención ICA - Medellín 11.04‰"</f>
        <v>Retención ICA - Medellín 11.04‰</v>
      </c>
      <c r="F45" s="21" t="str">
        <f ca="1">mercancia!C10</f>
        <v>Tubos y Conexiones Envigado Ltda.</v>
      </c>
      <c r="G45" s="23" t="str" cm="1">
        <f t="array" aca="1" ref="G45" ca="1">INDIRECT("mercancia!D"&amp;(INT((ROW()-2)/5)+2))</f>
        <v>901.012.345-0</v>
      </c>
      <c r="H45" s="21" t="str">
        <f>CHOOSE(MOD(8,3)+1,"CC-100 Bodega Central","CC-101 Sucursal Centro","CC-102 Sucursal Itagüí")</f>
        <v>CC-102 Sucursal Itagüí</v>
      </c>
      <c r="I45" s="21" t="str">
        <f>"ReteICA Medellín sobre compra "&amp;mercancia!A10</f>
        <v>ReteICA Medellín sobre compra FE-1009</v>
      </c>
      <c r="J45" s="24">
        <f>0</f>
        <v>0</v>
      </c>
      <c r="K45" s="24">
        <f ca="1">mercancia!N10</f>
        <v>47077</v>
      </c>
      <c r="L45" s="25" t="str">
        <f>mercancia!A10</f>
        <v>FE-1009</v>
      </c>
    </row>
    <row r="46" spans="1:12" x14ac:dyDescent="0.35">
      <c r="A46" s="20" t="str">
        <f>"CC-MC-"&amp;TEXT(1008,"0000")</f>
        <v>CC-MC-1008</v>
      </c>
      <c r="B46" s="21" t="str">
        <f>"Causación Compra"</f>
        <v>Causación Compra</v>
      </c>
      <c r="C46" s="22">
        <f ca="1">mercancia!B10</f>
        <v>46037</v>
      </c>
      <c r="D46" s="68" t="str">
        <f>"220505"</f>
        <v>220505</v>
      </c>
      <c r="E46" s="21" t="str">
        <f>"Proveedores nacionales"</f>
        <v>Proveedores nacionales</v>
      </c>
      <c r="F46" s="21" t="str">
        <f ca="1">mercancia!C10</f>
        <v>Tubos y Conexiones Envigado Ltda.</v>
      </c>
      <c r="G46" s="23" t="str" cm="1">
        <f t="array" aca="1" ref="G46" ca="1">INDIRECT("mercancia!D"&amp;(INT((ROW()-2)/5)+2))</f>
        <v>901.012.345-0</v>
      </c>
      <c r="H46" s="21" t="str">
        <f>CHOOSE(MOD(8,3)+1,"CC-100 Bodega Central","CC-101 Sucursal Centro","CC-102 Sucursal Itagüí")</f>
        <v>CC-102 Sucursal Itagüí</v>
      </c>
      <c r="I46" s="21" t="str">
        <f>"Cuenta por pagar proveedor - "&amp;mercancia!A10</f>
        <v>Cuenta por pagar proveedor - FE-1009</v>
      </c>
      <c r="J46" s="24">
        <f>0</f>
        <v>0</v>
      </c>
      <c r="K46" s="24">
        <f ca="1">mercancia!O10</f>
        <v>4920716</v>
      </c>
      <c r="L46" s="25" t="str">
        <f>mercancia!A10</f>
        <v>FE-1009</v>
      </c>
    </row>
    <row r="47" spans="1:12" x14ac:dyDescent="0.35">
      <c r="A47" s="26" t="str">
        <f>"CC-MC-"&amp;TEXT(1009,"0000")</f>
        <v>CC-MC-1009</v>
      </c>
      <c r="B47" s="27" t="str">
        <f>"Causación Compra"</f>
        <v>Causación Compra</v>
      </c>
      <c r="C47" s="28">
        <f ca="1">mercancia!B11</f>
        <v>46117</v>
      </c>
      <c r="D47" s="69" t="str">
        <f>"143505"</f>
        <v>143505</v>
      </c>
      <c r="E47" s="27" t="str">
        <f>"Mercancías no fabricadas por la empresa"</f>
        <v>Mercancías no fabricadas por la empresa</v>
      </c>
      <c r="F47" s="27" t="str">
        <f ca="1">mercancia!C11</f>
        <v>Acabados y Construcción Poblado S.A.S.</v>
      </c>
      <c r="G47" s="29" t="str" cm="1">
        <f t="array" aca="1" ref="G47" ca="1">INDIRECT("mercancia!D"&amp;(INT((ROW()-2)/5)+2))</f>
        <v>901.567.890-5</v>
      </c>
      <c r="H47" s="27" t="str">
        <f>CHOOSE(MOD(9,3)+1,"CC-100 Bodega Central","CC-101 Sucursal Centro","CC-102 Sucursal Itagüí")</f>
        <v>CC-100 Bodega Central</v>
      </c>
      <c r="I47" s="27" t="str">
        <f ca="1">"Compra mercancía - "&amp;mercancia!E11&amp;" - "&amp;mercancia!A11</f>
        <v>Compra mercancía - Guantes de carnaza par - FE-1010</v>
      </c>
      <c r="J47" s="30">
        <f ca="1">mercancia!H11</f>
        <v>223500</v>
      </c>
      <c r="K47" s="30">
        <f>0</f>
        <v>0</v>
      </c>
      <c r="L47" s="31" t="str">
        <f>mercancia!A11</f>
        <v>FE-1010</v>
      </c>
    </row>
    <row r="48" spans="1:12" x14ac:dyDescent="0.35">
      <c r="A48" s="26" t="str">
        <f>"CC-MC-"&amp;TEXT(1009,"0000")</f>
        <v>CC-MC-1009</v>
      </c>
      <c r="B48" s="27" t="str">
        <f>"Causación Compra"</f>
        <v>Causación Compra</v>
      </c>
      <c r="C48" s="28">
        <f ca="1">mercancia!B11</f>
        <v>46117</v>
      </c>
      <c r="D48" s="69" t="str">
        <f>"240805"</f>
        <v>240805</v>
      </c>
      <c r="E48" s="27" t="str">
        <f>"IVA descontable - 19%"</f>
        <v>IVA descontable - 19%</v>
      </c>
      <c r="F48" s="27" t="str">
        <f ca="1">mercancia!C11</f>
        <v>Acabados y Construcción Poblado S.A.S.</v>
      </c>
      <c r="G48" s="29" t="str" cm="1">
        <f t="array" aca="1" ref="G48" ca="1">INDIRECT("mercancia!D"&amp;(INT((ROW()-2)/5)+2))</f>
        <v>901.567.890-5</v>
      </c>
      <c r="H48" s="27" t="str">
        <f>CHOOSE(MOD(9,3)+1,"CC-100 Bodega Central","CC-101 Sucursal Centro","CC-102 Sucursal Itagüí")</f>
        <v>CC-100 Bodega Central</v>
      </c>
      <c r="I48" s="27" t="str">
        <f>"IVA descontable factura "&amp;mercancia!A11</f>
        <v>IVA descontable factura FE-1010</v>
      </c>
      <c r="J48" s="30">
        <f ca="1">mercancia!I11</f>
        <v>42465</v>
      </c>
      <c r="K48" s="30">
        <f>0</f>
        <v>0</v>
      </c>
      <c r="L48" s="31" t="str">
        <f>mercancia!A11</f>
        <v>FE-1010</v>
      </c>
    </row>
    <row r="49" spans="1:12" x14ac:dyDescent="0.35">
      <c r="A49" s="26" t="str">
        <f>"CC-MC-"&amp;TEXT(1009,"0000")</f>
        <v>CC-MC-1009</v>
      </c>
      <c r="B49" s="27" t="str">
        <f>"Causación Compra"</f>
        <v>Causación Compra</v>
      </c>
      <c r="C49" s="28">
        <f ca="1">mercancia!B11</f>
        <v>46117</v>
      </c>
      <c r="D49" s="69" t="str">
        <f>"236540"</f>
        <v>236540</v>
      </c>
      <c r="E49" s="27" t="str">
        <f>"Retención en la fuente - Compras"</f>
        <v>Retención en la fuente - Compras</v>
      </c>
      <c r="F49" s="27" t="str">
        <f ca="1">mercancia!C11</f>
        <v>Acabados y Construcción Poblado S.A.S.</v>
      </c>
      <c r="G49" s="29" t="str" cm="1">
        <f t="array" aca="1" ref="G49" ca="1">INDIRECT("mercancia!D"&amp;(INT((ROW()-2)/5)+2))</f>
        <v>901.567.890-5</v>
      </c>
      <c r="H49" s="27" t="str">
        <f>CHOOSE(MOD(9,3)+1,"CC-100 Bodega Central","CC-101 Sucursal Centro","CC-102 Sucursal Itagüí")</f>
        <v>CC-100 Bodega Central</v>
      </c>
      <c r="I49" s="27" t="str">
        <f ca="1">"ReteFuente "&amp;TEXT(mercancia!K11,"0.0%")&amp;" sobre compra "&amp;mercancia!A11</f>
        <v>ReteFuente 04% sobre compra FE-1010</v>
      </c>
      <c r="J49" s="30">
        <f>0</f>
        <v>0</v>
      </c>
      <c r="K49" s="30">
        <f ca="1">mercancia!L11</f>
        <v>7823</v>
      </c>
      <c r="L49" s="31" t="str">
        <f>mercancia!A11</f>
        <v>FE-1010</v>
      </c>
    </row>
    <row r="50" spans="1:12" x14ac:dyDescent="0.35">
      <c r="A50" s="26" t="str">
        <f>"CC-MC-"&amp;TEXT(1009,"0000")</f>
        <v>CC-MC-1009</v>
      </c>
      <c r="B50" s="27" t="str">
        <f>"Causación Compra"</f>
        <v>Causación Compra</v>
      </c>
      <c r="C50" s="28">
        <f ca="1">mercancia!B11</f>
        <v>46117</v>
      </c>
      <c r="D50" s="69" t="str">
        <f>"236805"</f>
        <v>236805</v>
      </c>
      <c r="E50" s="27" t="str">
        <f>"Retención ICA - Medellín 11.04‰"</f>
        <v>Retención ICA - Medellín 11.04‰</v>
      </c>
      <c r="F50" s="27" t="str">
        <f ca="1">mercancia!C11</f>
        <v>Acabados y Construcción Poblado S.A.S.</v>
      </c>
      <c r="G50" s="29" t="str" cm="1">
        <f t="array" aca="1" ref="G50" ca="1">INDIRECT("mercancia!D"&amp;(INT((ROW()-2)/5)+2))</f>
        <v>901.567.890-5</v>
      </c>
      <c r="H50" s="27" t="str">
        <f>CHOOSE(MOD(9,3)+1,"CC-100 Bodega Central","CC-101 Sucursal Centro","CC-102 Sucursal Itagüí")</f>
        <v>CC-100 Bodega Central</v>
      </c>
      <c r="I50" s="27" t="str">
        <f>"ReteICA Medellín sobre compra "&amp;mercancia!A11</f>
        <v>ReteICA Medellín sobre compra FE-1010</v>
      </c>
      <c r="J50" s="30">
        <f>0</f>
        <v>0</v>
      </c>
      <c r="K50" s="30">
        <f ca="1">mercancia!N11</f>
        <v>2467</v>
      </c>
      <c r="L50" s="31" t="str">
        <f>mercancia!A11</f>
        <v>FE-1010</v>
      </c>
    </row>
    <row r="51" spans="1:12" x14ac:dyDescent="0.35">
      <c r="A51" s="26" t="str">
        <f>"CC-MC-"&amp;TEXT(1009,"0000")</f>
        <v>CC-MC-1009</v>
      </c>
      <c r="B51" s="27" t="str">
        <f>"Causación Compra"</f>
        <v>Causación Compra</v>
      </c>
      <c r="C51" s="28">
        <f ca="1">mercancia!B11</f>
        <v>46117</v>
      </c>
      <c r="D51" s="69" t="str">
        <f>"220505"</f>
        <v>220505</v>
      </c>
      <c r="E51" s="27" t="str">
        <f>"Proveedores nacionales"</f>
        <v>Proveedores nacionales</v>
      </c>
      <c r="F51" s="27" t="str">
        <f ca="1">mercancia!C11</f>
        <v>Acabados y Construcción Poblado S.A.S.</v>
      </c>
      <c r="G51" s="29" t="str" cm="1">
        <f t="array" aca="1" ref="G51" ca="1">INDIRECT("mercancia!D"&amp;(INT((ROW()-2)/5)+2))</f>
        <v>901.567.890-5</v>
      </c>
      <c r="H51" s="27" t="str">
        <f>CHOOSE(MOD(9,3)+1,"CC-100 Bodega Central","CC-101 Sucursal Centro","CC-102 Sucursal Itagüí")</f>
        <v>CC-100 Bodega Central</v>
      </c>
      <c r="I51" s="27" t="str">
        <f>"Cuenta por pagar proveedor - "&amp;mercancia!A11</f>
        <v>Cuenta por pagar proveedor - FE-1010</v>
      </c>
      <c r="J51" s="30">
        <f>0</f>
        <v>0</v>
      </c>
      <c r="K51" s="30">
        <f ca="1">mercancia!O11</f>
        <v>255675</v>
      </c>
      <c r="L51" s="31" t="str">
        <f>mercancia!A11</f>
        <v>FE-1010</v>
      </c>
    </row>
    <row r="52" spans="1:12" x14ac:dyDescent="0.35">
      <c r="A52" s="20" t="str">
        <f>"CC-MC-"&amp;TEXT(1010,"0000")</f>
        <v>CC-MC-1010</v>
      </c>
      <c r="B52" s="21" t="str">
        <f>"Causación Compra"</f>
        <v>Causación Compra</v>
      </c>
      <c r="C52" s="22">
        <f ca="1">mercancia!B12</f>
        <v>46041</v>
      </c>
      <c r="D52" s="68" t="str">
        <f>"143505"</f>
        <v>143505</v>
      </c>
      <c r="E52" s="21" t="str">
        <f>"Mercancías no fabricadas por la empresa"</f>
        <v>Mercancías no fabricadas por la empresa</v>
      </c>
      <c r="F52" s="21" t="str">
        <f ca="1">mercancia!C12</f>
        <v>Materiales La Estrella S.A.S.</v>
      </c>
      <c r="G52" s="23" t="str" cm="1">
        <f t="array" aca="1" ref="G52" ca="1">INDIRECT("mercancia!D"&amp;(INT((ROW()-2)/5)+2))</f>
        <v>901.345.678-3</v>
      </c>
      <c r="H52" s="21" t="str">
        <f>CHOOSE(MOD(10,3)+1,"CC-100 Bodega Central","CC-101 Sucursal Centro","CC-102 Sucursal Itagüí")</f>
        <v>CC-101 Sucursal Centro</v>
      </c>
      <c r="I52" s="21" t="str">
        <f ca="1">"Compra mercancía - "&amp;mercancia!E12&amp;" - "&amp;mercancia!A12</f>
        <v>Compra mercancía - Guantes de carnaza par - FE-1011</v>
      </c>
      <c r="J52" s="24">
        <f ca="1">mercancia!H12</f>
        <v>11734800</v>
      </c>
      <c r="K52" s="24">
        <f>0</f>
        <v>0</v>
      </c>
      <c r="L52" s="25" t="str">
        <f>mercancia!A12</f>
        <v>FE-1011</v>
      </c>
    </row>
    <row r="53" spans="1:12" x14ac:dyDescent="0.35">
      <c r="A53" s="20" t="str">
        <f>"CC-MC-"&amp;TEXT(1010,"0000")</f>
        <v>CC-MC-1010</v>
      </c>
      <c r="B53" s="21" t="str">
        <f>"Causación Compra"</f>
        <v>Causación Compra</v>
      </c>
      <c r="C53" s="22">
        <f ca="1">mercancia!B12</f>
        <v>46041</v>
      </c>
      <c r="D53" s="68" t="str">
        <f>"240805"</f>
        <v>240805</v>
      </c>
      <c r="E53" s="21" t="str">
        <f>"IVA descontable - 19%"</f>
        <v>IVA descontable - 19%</v>
      </c>
      <c r="F53" s="21" t="str">
        <f ca="1">mercancia!C12</f>
        <v>Materiales La Estrella S.A.S.</v>
      </c>
      <c r="G53" s="23" t="str" cm="1">
        <f t="array" aca="1" ref="G53" ca="1">INDIRECT("mercancia!D"&amp;(INT((ROW()-2)/5)+2))</f>
        <v>901.345.678-3</v>
      </c>
      <c r="H53" s="21" t="str">
        <f>CHOOSE(MOD(10,3)+1,"CC-100 Bodega Central","CC-101 Sucursal Centro","CC-102 Sucursal Itagüí")</f>
        <v>CC-101 Sucursal Centro</v>
      </c>
      <c r="I53" s="21" t="str">
        <f>"IVA descontable factura "&amp;mercancia!A12</f>
        <v>IVA descontable factura FE-1011</v>
      </c>
      <c r="J53" s="24">
        <f ca="1">mercancia!I12</f>
        <v>2229612</v>
      </c>
      <c r="K53" s="24">
        <f>0</f>
        <v>0</v>
      </c>
      <c r="L53" s="25" t="str">
        <f>mercancia!A12</f>
        <v>FE-1011</v>
      </c>
    </row>
    <row r="54" spans="1:12" x14ac:dyDescent="0.35">
      <c r="A54" s="20" t="str">
        <f>"CC-MC-"&amp;TEXT(1010,"0000")</f>
        <v>CC-MC-1010</v>
      </c>
      <c r="B54" s="21" t="str">
        <f>"Causación Compra"</f>
        <v>Causación Compra</v>
      </c>
      <c r="C54" s="22">
        <f ca="1">mercancia!B12</f>
        <v>46041</v>
      </c>
      <c r="D54" s="68" t="str">
        <f>"236540"</f>
        <v>236540</v>
      </c>
      <c r="E54" s="21" t="str">
        <f>"Retención en la fuente - Compras"</f>
        <v>Retención en la fuente - Compras</v>
      </c>
      <c r="F54" s="21" t="str">
        <f ca="1">mercancia!C12</f>
        <v>Materiales La Estrella S.A.S.</v>
      </c>
      <c r="G54" s="23" t="str" cm="1">
        <f t="array" aca="1" ref="G54" ca="1">INDIRECT("mercancia!D"&amp;(INT((ROW()-2)/5)+2))</f>
        <v>901.345.678-3</v>
      </c>
      <c r="H54" s="21" t="str">
        <f>CHOOSE(MOD(10,3)+1,"CC-100 Bodega Central","CC-101 Sucursal Centro","CC-102 Sucursal Itagüí")</f>
        <v>CC-101 Sucursal Centro</v>
      </c>
      <c r="I54" s="21" t="str">
        <f ca="1">"ReteFuente "&amp;TEXT(mercancia!K12,"0.0%")&amp;" sobre compra "&amp;mercancia!A12</f>
        <v>ReteFuente 03% sobre compra FE-1011</v>
      </c>
      <c r="J54" s="24">
        <f>0</f>
        <v>0</v>
      </c>
      <c r="K54" s="24">
        <f ca="1">mercancia!L12</f>
        <v>293370</v>
      </c>
      <c r="L54" s="25" t="str">
        <f>mercancia!A12</f>
        <v>FE-1011</v>
      </c>
    </row>
    <row r="55" spans="1:12" x14ac:dyDescent="0.35">
      <c r="A55" s="20" t="str">
        <f>"CC-MC-"&amp;TEXT(1010,"0000")</f>
        <v>CC-MC-1010</v>
      </c>
      <c r="B55" s="21" t="str">
        <f>"Causación Compra"</f>
        <v>Causación Compra</v>
      </c>
      <c r="C55" s="22">
        <f ca="1">mercancia!B12</f>
        <v>46041</v>
      </c>
      <c r="D55" s="68" t="str">
        <f>"236805"</f>
        <v>236805</v>
      </c>
      <c r="E55" s="21" t="str">
        <f>"Retención ICA - Medellín 11.04‰"</f>
        <v>Retención ICA - Medellín 11.04‰</v>
      </c>
      <c r="F55" s="21" t="str">
        <f ca="1">mercancia!C12</f>
        <v>Materiales La Estrella S.A.S.</v>
      </c>
      <c r="G55" s="23" t="str" cm="1">
        <f t="array" aca="1" ref="G55" ca="1">INDIRECT("mercancia!D"&amp;(INT((ROW()-2)/5)+2))</f>
        <v>901.345.678-3</v>
      </c>
      <c r="H55" s="21" t="str">
        <f>CHOOSE(MOD(10,3)+1,"CC-100 Bodega Central","CC-101 Sucursal Centro","CC-102 Sucursal Itagüí")</f>
        <v>CC-101 Sucursal Centro</v>
      </c>
      <c r="I55" s="21" t="str">
        <f>"ReteICA Medellín sobre compra "&amp;mercancia!A12</f>
        <v>ReteICA Medellín sobre compra FE-1011</v>
      </c>
      <c r="J55" s="24">
        <f>0</f>
        <v>0</v>
      </c>
      <c r="K55" s="24">
        <f ca="1">mercancia!N12</f>
        <v>129552</v>
      </c>
      <c r="L55" s="25" t="str">
        <f>mercancia!A12</f>
        <v>FE-1011</v>
      </c>
    </row>
    <row r="56" spans="1:12" x14ac:dyDescent="0.35">
      <c r="A56" s="20" t="str">
        <f>"CC-MC-"&amp;TEXT(1010,"0000")</f>
        <v>CC-MC-1010</v>
      </c>
      <c r="B56" s="21" t="str">
        <f>"Causación Compra"</f>
        <v>Causación Compra</v>
      </c>
      <c r="C56" s="22">
        <f ca="1">mercancia!B12</f>
        <v>46041</v>
      </c>
      <c r="D56" s="68" t="str">
        <f>"220505"</f>
        <v>220505</v>
      </c>
      <c r="E56" s="21" t="str">
        <f>"Proveedores nacionales"</f>
        <v>Proveedores nacionales</v>
      </c>
      <c r="F56" s="21" t="str">
        <f ca="1">mercancia!C12</f>
        <v>Materiales La Estrella S.A.S.</v>
      </c>
      <c r="G56" s="23" t="str" cm="1">
        <f t="array" aca="1" ref="G56" ca="1">INDIRECT("mercancia!D"&amp;(INT((ROW()-2)/5)+2))</f>
        <v>901.345.678-3</v>
      </c>
      <c r="H56" s="21" t="str">
        <f>CHOOSE(MOD(10,3)+1,"CC-100 Bodega Central","CC-101 Sucursal Centro","CC-102 Sucursal Itagüí")</f>
        <v>CC-101 Sucursal Centro</v>
      </c>
      <c r="I56" s="21" t="str">
        <f>"Cuenta por pagar proveedor - "&amp;mercancia!A12</f>
        <v>Cuenta por pagar proveedor - FE-1011</v>
      </c>
      <c r="J56" s="24">
        <f>0</f>
        <v>0</v>
      </c>
      <c r="K56" s="24">
        <f ca="1">mercancia!O12</f>
        <v>13541490</v>
      </c>
      <c r="L56" s="25" t="str">
        <f>mercancia!A12</f>
        <v>FE-1011</v>
      </c>
    </row>
    <row r="57" spans="1:12" x14ac:dyDescent="0.35">
      <c r="A57" s="26" t="str">
        <f>"CC-MC-"&amp;TEXT(1011,"0000")</f>
        <v>CC-MC-1011</v>
      </c>
      <c r="B57" s="27" t="str">
        <f>"Causación Compra"</f>
        <v>Causación Compra</v>
      </c>
      <c r="C57" s="28">
        <f ca="1">mercancia!B13</f>
        <v>46076</v>
      </c>
      <c r="D57" s="69" t="str">
        <f>"143505"</f>
        <v>143505</v>
      </c>
      <c r="E57" s="27" t="str">
        <f>"Mercancías no fabricadas por la empresa"</f>
        <v>Mercancías no fabricadas por la empresa</v>
      </c>
      <c r="F57" s="27" t="str">
        <f ca="1">mercancia!C13</f>
        <v>Cementos y Materiales Paisa S.A.</v>
      </c>
      <c r="G57" s="29" t="str" cm="1">
        <f t="array" aca="1" ref="G57" ca="1">INDIRECT("mercancia!D"&amp;(INT((ROW()-2)/5)+2))</f>
        <v>900.456.789-4</v>
      </c>
      <c r="H57" s="27" t="str">
        <f>CHOOSE(MOD(11,3)+1,"CC-100 Bodega Central","CC-101 Sucursal Centro","CC-102 Sucursal Itagüí")</f>
        <v>CC-102 Sucursal Itagüí</v>
      </c>
      <c r="I57" s="27" t="str">
        <f ca="1">"Compra mercancía - "&amp;mercancia!E13&amp;" - "&amp;mercancia!A13</f>
        <v>Compra mercancía - Tornillería Nacional del Valle de Aburrá - FE-1012</v>
      </c>
      <c r="J57" s="30">
        <f ca="1">mercancia!H13</f>
        <v>2170800</v>
      </c>
      <c r="K57" s="30">
        <f>0</f>
        <v>0</v>
      </c>
      <c r="L57" s="31" t="str">
        <f>mercancia!A13</f>
        <v>FE-1012</v>
      </c>
    </row>
    <row r="58" spans="1:12" x14ac:dyDescent="0.35">
      <c r="A58" s="26" t="str">
        <f>"CC-MC-"&amp;TEXT(1011,"0000")</f>
        <v>CC-MC-1011</v>
      </c>
      <c r="B58" s="27" t="str">
        <f>"Causación Compra"</f>
        <v>Causación Compra</v>
      </c>
      <c r="C58" s="28">
        <f ca="1">mercancia!B13</f>
        <v>46076</v>
      </c>
      <c r="D58" s="69" t="str">
        <f>"240805"</f>
        <v>240805</v>
      </c>
      <c r="E58" s="27" t="str">
        <f>"IVA descontable - 19%"</f>
        <v>IVA descontable - 19%</v>
      </c>
      <c r="F58" s="27" t="str">
        <f ca="1">mercancia!C13</f>
        <v>Cementos y Materiales Paisa S.A.</v>
      </c>
      <c r="G58" s="29" t="str" cm="1">
        <f t="array" aca="1" ref="G58" ca="1">INDIRECT("mercancia!D"&amp;(INT((ROW()-2)/5)+2))</f>
        <v>900.456.789-4</v>
      </c>
      <c r="H58" s="27" t="str">
        <f>CHOOSE(MOD(11,3)+1,"CC-100 Bodega Central","CC-101 Sucursal Centro","CC-102 Sucursal Itagüí")</f>
        <v>CC-102 Sucursal Itagüí</v>
      </c>
      <c r="I58" s="27" t="str">
        <f>"IVA descontable factura "&amp;mercancia!A13</f>
        <v>IVA descontable factura FE-1012</v>
      </c>
      <c r="J58" s="30">
        <f ca="1">mercancia!I13</f>
        <v>412452</v>
      </c>
      <c r="K58" s="30">
        <f>0</f>
        <v>0</v>
      </c>
      <c r="L58" s="31" t="str">
        <f>mercancia!A13</f>
        <v>FE-1012</v>
      </c>
    </row>
    <row r="59" spans="1:12" x14ac:dyDescent="0.35">
      <c r="A59" s="26" t="str">
        <f>"CC-MC-"&amp;TEXT(1011,"0000")</f>
        <v>CC-MC-1011</v>
      </c>
      <c r="B59" s="27" t="str">
        <f>"Causación Compra"</f>
        <v>Causación Compra</v>
      </c>
      <c r="C59" s="28">
        <f ca="1">mercancia!B13</f>
        <v>46076</v>
      </c>
      <c r="D59" s="69" t="str">
        <f>"236540"</f>
        <v>236540</v>
      </c>
      <c r="E59" s="27" t="str">
        <f>"Retención en la fuente - Compras"</f>
        <v>Retención en la fuente - Compras</v>
      </c>
      <c r="F59" s="27" t="str">
        <f ca="1">mercancia!C13</f>
        <v>Cementos y Materiales Paisa S.A.</v>
      </c>
      <c r="G59" s="29" t="str" cm="1">
        <f t="array" aca="1" ref="G59" ca="1">INDIRECT("mercancia!D"&amp;(INT((ROW()-2)/5)+2))</f>
        <v>900.456.789-4</v>
      </c>
      <c r="H59" s="27" t="str">
        <f>CHOOSE(MOD(11,3)+1,"CC-100 Bodega Central","CC-101 Sucursal Centro","CC-102 Sucursal Itagüí")</f>
        <v>CC-102 Sucursal Itagüí</v>
      </c>
      <c r="I59" s="27" t="str">
        <f ca="1">"ReteFuente "&amp;TEXT(mercancia!K13,"0.0%")&amp;" sobre compra "&amp;mercancia!A13</f>
        <v>ReteFuente 03% sobre compra FE-1012</v>
      </c>
      <c r="J59" s="30">
        <f>0</f>
        <v>0</v>
      </c>
      <c r="K59" s="30">
        <f ca="1">mercancia!L13</f>
        <v>54270</v>
      </c>
      <c r="L59" s="31" t="str">
        <f>mercancia!A13</f>
        <v>FE-1012</v>
      </c>
    </row>
    <row r="60" spans="1:12" x14ac:dyDescent="0.35">
      <c r="A60" s="26" t="str">
        <f>"CC-MC-"&amp;TEXT(1011,"0000")</f>
        <v>CC-MC-1011</v>
      </c>
      <c r="B60" s="27" t="str">
        <f>"Causación Compra"</f>
        <v>Causación Compra</v>
      </c>
      <c r="C60" s="28">
        <f ca="1">mercancia!B13</f>
        <v>46076</v>
      </c>
      <c r="D60" s="69" t="str">
        <f>"236805"</f>
        <v>236805</v>
      </c>
      <c r="E60" s="27" t="str">
        <f>"Retención ICA - Medellín 11.04‰"</f>
        <v>Retención ICA - Medellín 11.04‰</v>
      </c>
      <c r="F60" s="27" t="str">
        <f ca="1">mercancia!C13</f>
        <v>Cementos y Materiales Paisa S.A.</v>
      </c>
      <c r="G60" s="29" t="str" cm="1">
        <f t="array" aca="1" ref="G60" ca="1">INDIRECT("mercancia!D"&amp;(INT((ROW()-2)/5)+2))</f>
        <v>900.456.789-4</v>
      </c>
      <c r="H60" s="27" t="str">
        <f>CHOOSE(MOD(11,3)+1,"CC-100 Bodega Central","CC-101 Sucursal Centro","CC-102 Sucursal Itagüí")</f>
        <v>CC-102 Sucursal Itagüí</v>
      </c>
      <c r="I60" s="27" t="str">
        <f>"ReteICA Medellín sobre compra "&amp;mercancia!A13</f>
        <v>ReteICA Medellín sobre compra FE-1012</v>
      </c>
      <c r="J60" s="30">
        <f>0</f>
        <v>0</v>
      </c>
      <c r="K60" s="30">
        <f ca="1">mercancia!N13</f>
        <v>23966</v>
      </c>
      <c r="L60" s="31" t="str">
        <f>mercancia!A13</f>
        <v>FE-1012</v>
      </c>
    </row>
    <row r="61" spans="1:12" x14ac:dyDescent="0.35">
      <c r="A61" s="26" t="str">
        <f>"CC-MC-"&amp;TEXT(1011,"0000")</f>
        <v>CC-MC-1011</v>
      </c>
      <c r="B61" s="27" t="str">
        <f>"Causación Compra"</f>
        <v>Causación Compra</v>
      </c>
      <c r="C61" s="28">
        <f ca="1">mercancia!B13</f>
        <v>46076</v>
      </c>
      <c r="D61" s="69" t="str">
        <f>"220505"</f>
        <v>220505</v>
      </c>
      <c r="E61" s="27" t="str">
        <f>"Proveedores nacionales"</f>
        <v>Proveedores nacionales</v>
      </c>
      <c r="F61" s="27" t="str">
        <f ca="1">mercancia!C13</f>
        <v>Cementos y Materiales Paisa S.A.</v>
      </c>
      <c r="G61" s="29" t="str" cm="1">
        <f t="array" aca="1" ref="G61" ca="1">INDIRECT("mercancia!D"&amp;(INT((ROW()-2)/5)+2))</f>
        <v>900.456.789-4</v>
      </c>
      <c r="H61" s="27" t="str">
        <f>CHOOSE(MOD(11,3)+1,"CC-100 Bodega Central","CC-101 Sucursal Centro","CC-102 Sucursal Itagüí")</f>
        <v>CC-102 Sucursal Itagüí</v>
      </c>
      <c r="I61" s="27" t="str">
        <f>"Cuenta por pagar proveedor - "&amp;mercancia!A13</f>
        <v>Cuenta por pagar proveedor - FE-1012</v>
      </c>
      <c r="J61" s="30">
        <f>0</f>
        <v>0</v>
      </c>
      <c r="K61" s="30">
        <f ca="1">mercancia!O13</f>
        <v>2505016</v>
      </c>
      <c r="L61" s="31" t="str">
        <f>mercancia!A13</f>
        <v>FE-1012</v>
      </c>
    </row>
    <row r="62" spans="1:12" x14ac:dyDescent="0.35">
      <c r="A62" s="20" t="str">
        <f>"CC-MC-"&amp;TEXT(1012,"0000")</f>
        <v>CC-MC-1012</v>
      </c>
      <c r="B62" s="21" t="str">
        <f>"Causación Compra"</f>
        <v>Causación Compra</v>
      </c>
      <c r="C62" s="22">
        <f ca="1">mercancia!B14</f>
        <v>46137</v>
      </c>
      <c r="D62" s="68" t="str">
        <f>"143505"</f>
        <v>143505</v>
      </c>
      <c r="E62" s="21" t="str">
        <f>"Mercancías no fabricadas por la empresa"</f>
        <v>Mercancías no fabricadas por la empresa</v>
      </c>
      <c r="F62" s="21" t="str">
        <f ca="1">mercancia!C14</f>
        <v>Ferromax Colombia S.A.S.</v>
      </c>
      <c r="G62" s="23" t="str" cm="1">
        <f t="array" aca="1" ref="G62" ca="1">INDIRECT("mercancia!D"&amp;(INT((ROW()-2)/5)+2))</f>
        <v>901.234.567-2</v>
      </c>
      <c r="H62" s="21" t="str">
        <f>CHOOSE(MOD(12,3)+1,"CC-100 Bodega Central","CC-101 Sucursal Centro","CC-102 Sucursal Itagüí")</f>
        <v>CC-100 Bodega Central</v>
      </c>
      <c r="I62" s="21" t="str">
        <f ca="1">"Compra mercancía - "&amp;mercancia!E14&amp;" - "&amp;mercancia!A14</f>
        <v>Compra mercancía - Pala cuadrada con cabo - FE-1013</v>
      </c>
      <c r="J62" s="24">
        <f ca="1">mercancia!H14</f>
        <v>26894400</v>
      </c>
      <c r="K62" s="24">
        <f>0</f>
        <v>0</v>
      </c>
      <c r="L62" s="25" t="str">
        <f>mercancia!A14</f>
        <v>FE-1013</v>
      </c>
    </row>
    <row r="63" spans="1:12" x14ac:dyDescent="0.35">
      <c r="A63" s="20" t="str">
        <f>"CC-MC-"&amp;TEXT(1012,"0000")</f>
        <v>CC-MC-1012</v>
      </c>
      <c r="B63" s="21" t="str">
        <f>"Causación Compra"</f>
        <v>Causación Compra</v>
      </c>
      <c r="C63" s="22">
        <f ca="1">mercancia!B14</f>
        <v>46137</v>
      </c>
      <c r="D63" s="68" t="str">
        <f>"240805"</f>
        <v>240805</v>
      </c>
      <c r="E63" s="21" t="str">
        <f>"IVA descontable - 19%"</f>
        <v>IVA descontable - 19%</v>
      </c>
      <c r="F63" s="21" t="str">
        <f ca="1">mercancia!C14</f>
        <v>Ferromax Colombia S.A.S.</v>
      </c>
      <c r="G63" s="23" t="str" cm="1">
        <f t="array" aca="1" ref="G63" ca="1">INDIRECT("mercancia!D"&amp;(INT((ROW()-2)/5)+2))</f>
        <v>901.234.567-2</v>
      </c>
      <c r="H63" s="21" t="str">
        <f>CHOOSE(MOD(12,3)+1,"CC-100 Bodega Central","CC-101 Sucursal Centro","CC-102 Sucursal Itagüí")</f>
        <v>CC-100 Bodega Central</v>
      </c>
      <c r="I63" s="21" t="str">
        <f>"IVA descontable factura "&amp;mercancia!A14</f>
        <v>IVA descontable factura FE-1013</v>
      </c>
      <c r="J63" s="24">
        <f ca="1">mercancia!I14</f>
        <v>5109936</v>
      </c>
      <c r="K63" s="24">
        <f>0</f>
        <v>0</v>
      </c>
      <c r="L63" s="25" t="str">
        <f>mercancia!A14</f>
        <v>FE-1013</v>
      </c>
    </row>
    <row r="64" spans="1:12" x14ac:dyDescent="0.35">
      <c r="A64" s="20" t="str">
        <f>"CC-MC-"&amp;TEXT(1012,"0000")</f>
        <v>CC-MC-1012</v>
      </c>
      <c r="B64" s="21" t="str">
        <f>"Causación Compra"</f>
        <v>Causación Compra</v>
      </c>
      <c r="C64" s="22">
        <f ca="1">mercancia!B14</f>
        <v>46137</v>
      </c>
      <c r="D64" s="68" t="str">
        <f>"236540"</f>
        <v>236540</v>
      </c>
      <c r="E64" s="21" t="str">
        <f>"Retención en la fuente - Compras"</f>
        <v>Retención en la fuente - Compras</v>
      </c>
      <c r="F64" s="21" t="str">
        <f ca="1">mercancia!C14</f>
        <v>Ferromax Colombia S.A.S.</v>
      </c>
      <c r="G64" s="23" t="str" cm="1">
        <f t="array" aca="1" ref="G64" ca="1">INDIRECT("mercancia!D"&amp;(INT((ROW()-2)/5)+2))</f>
        <v>901.234.567-2</v>
      </c>
      <c r="H64" s="21" t="str">
        <f>CHOOSE(MOD(12,3)+1,"CC-100 Bodega Central","CC-101 Sucursal Centro","CC-102 Sucursal Itagüí")</f>
        <v>CC-100 Bodega Central</v>
      </c>
      <c r="I64" s="21" t="str">
        <f ca="1">"ReteFuente "&amp;TEXT(mercancia!K14,"0.0%")&amp;" sobre compra "&amp;mercancia!A14</f>
        <v>ReteFuente 03% sobre compra FE-1013</v>
      </c>
      <c r="J64" s="24">
        <f>0</f>
        <v>0</v>
      </c>
      <c r="K64" s="24">
        <f ca="1">mercancia!L14</f>
        <v>672360</v>
      </c>
      <c r="L64" s="25" t="str">
        <f>mercancia!A14</f>
        <v>FE-1013</v>
      </c>
    </row>
    <row r="65" spans="1:12" x14ac:dyDescent="0.35">
      <c r="A65" s="20" t="str">
        <f>"CC-MC-"&amp;TEXT(1012,"0000")</f>
        <v>CC-MC-1012</v>
      </c>
      <c r="B65" s="21" t="str">
        <f>"Causación Compra"</f>
        <v>Causación Compra</v>
      </c>
      <c r="C65" s="22">
        <f ca="1">mercancia!B14</f>
        <v>46137</v>
      </c>
      <c r="D65" s="68" t="str">
        <f>"236805"</f>
        <v>236805</v>
      </c>
      <c r="E65" s="21" t="str">
        <f>"Retención ICA - Medellín 11.04‰"</f>
        <v>Retención ICA - Medellín 11.04‰</v>
      </c>
      <c r="F65" s="21" t="str">
        <f ca="1">mercancia!C14</f>
        <v>Ferromax Colombia S.A.S.</v>
      </c>
      <c r="G65" s="23" t="str" cm="1">
        <f t="array" aca="1" ref="G65" ca="1">INDIRECT("mercancia!D"&amp;(INT((ROW()-2)/5)+2))</f>
        <v>901.234.567-2</v>
      </c>
      <c r="H65" s="21" t="str">
        <f>CHOOSE(MOD(12,3)+1,"CC-100 Bodega Central","CC-101 Sucursal Centro","CC-102 Sucursal Itagüí")</f>
        <v>CC-100 Bodega Central</v>
      </c>
      <c r="I65" s="21" t="str">
        <f>"ReteICA Medellín sobre compra "&amp;mercancia!A14</f>
        <v>ReteICA Medellín sobre compra FE-1013</v>
      </c>
      <c r="J65" s="24">
        <f>0</f>
        <v>0</v>
      </c>
      <c r="K65" s="24">
        <f ca="1">mercancia!N14</f>
        <v>296914</v>
      </c>
      <c r="L65" s="25" t="str">
        <f>mercancia!A14</f>
        <v>FE-1013</v>
      </c>
    </row>
    <row r="66" spans="1:12" x14ac:dyDescent="0.35">
      <c r="A66" s="20" t="str">
        <f>"CC-MC-"&amp;TEXT(1012,"0000")</f>
        <v>CC-MC-1012</v>
      </c>
      <c r="B66" s="21" t="str">
        <f>"Causación Compra"</f>
        <v>Causación Compra</v>
      </c>
      <c r="C66" s="22">
        <f ca="1">mercancia!B14</f>
        <v>46137</v>
      </c>
      <c r="D66" s="68" t="str">
        <f>"220505"</f>
        <v>220505</v>
      </c>
      <c r="E66" s="21" t="str">
        <f>"Proveedores nacionales"</f>
        <v>Proveedores nacionales</v>
      </c>
      <c r="F66" s="21" t="str">
        <f ca="1">mercancia!C14</f>
        <v>Ferromax Colombia S.A.S.</v>
      </c>
      <c r="G66" s="23" t="str" cm="1">
        <f t="array" aca="1" ref="G66" ca="1">INDIRECT("mercancia!D"&amp;(INT((ROW()-2)/5)+2))</f>
        <v>901.234.567-2</v>
      </c>
      <c r="H66" s="21" t="str">
        <f>CHOOSE(MOD(12,3)+1,"CC-100 Bodega Central","CC-101 Sucursal Centro","CC-102 Sucursal Itagüí")</f>
        <v>CC-100 Bodega Central</v>
      </c>
      <c r="I66" s="21" t="str">
        <f>"Cuenta por pagar proveedor - "&amp;mercancia!A14</f>
        <v>Cuenta por pagar proveedor - FE-1013</v>
      </c>
      <c r="J66" s="24">
        <f>0</f>
        <v>0</v>
      </c>
      <c r="K66" s="24">
        <f ca="1">mercancia!O14</f>
        <v>31035062</v>
      </c>
      <c r="L66" s="25" t="str">
        <f>mercancia!A14</f>
        <v>FE-1013</v>
      </c>
    </row>
    <row r="67" spans="1:12" x14ac:dyDescent="0.35">
      <c r="A67" s="26" t="str">
        <f>"CC-MC-"&amp;TEXT(1013,"0000")</f>
        <v>CC-MC-1013</v>
      </c>
      <c r="B67" s="27" t="str">
        <f>"Causación Compra"</f>
        <v>Causación Compra</v>
      </c>
      <c r="C67" s="28">
        <f ca="1">mercancia!B15</f>
        <v>46063</v>
      </c>
      <c r="D67" s="69" t="str">
        <f>"143505"</f>
        <v>143505</v>
      </c>
      <c r="E67" s="27" t="str">
        <f>"Mercancías no fabricadas por la empresa"</f>
        <v>Mercancías no fabricadas por la empresa</v>
      </c>
      <c r="F67" s="27" t="str">
        <f ca="1">mercancia!C15</f>
        <v>Ferretería Antioqueña Ltda.</v>
      </c>
      <c r="G67" s="29" t="str" cm="1">
        <f t="array" aca="1" ref="G67" ca="1">INDIRECT("mercancia!D"&amp;(INT((ROW()-2)/5)+2))</f>
        <v>900.234.567-2</v>
      </c>
      <c r="H67" s="27" t="str">
        <f>CHOOSE(MOD(13,3)+1,"CC-100 Bodega Central","CC-101 Sucursal Centro","CC-102 Sucursal Itagüí")</f>
        <v>CC-101 Sucursal Centro</v>
      </c>
      <c r="I67" s="27" t="str">
        <f ca="1">"Compra mercancía - "&amp;mercancia!E15&amp;" - "&amp;mercancia!A15</f>
        <v>Compra mercancía - Triturado 1/2" - bulto - FE-1014</v>
      </c>
      <c r="J67" s="30">
        <f ca="1">mercancia!H15</f>
        <v>10460000</v>
      </c>
      <c r="K67" s="30">
        <f>0</f>
        <v>0</v>
      </c>
      <c r="L67" s="31" t="str">
        <f>mercancia!A15</f>
        <v>FE-1014</v>
      </c>
    </row>
    <row r="68" spans="1:12" x14ac:dyDescent="0.35">
      <c r="A68" s="26" t="str">
        <f>"CC-MC-"&amp;TEXT(1013,"0000")</f>
        <v>CC-MC-1013</v>
      </c>
      <c r="B68" s="27" t="str">
        <f>"Causación Compra"</f>
        <v>Causación Compra</v>
      </c>
      <c r="C68" s="28">
        <f ca="1">mercancia!B15</f>
        <v>46063</v>
      </c>
      <c r="D68" s="69" t="str">
        <f>"240805"</f>
        <v>240805</v>
      </c>
      <c r="E68" s="27" t="str">
        <f>"IVA descontable - 19%"</f>
        <v>IVA descontable - 19%</v>
      </c>
      <c r="F68" s="27" t="str">
        <f ca="1">mercancia!C15</f>
        <v>Ferretería Antioqueña Ltda.</v>
      </c>
      <c r="G68" s="29" t="str" cm="1">
        <f t="array" aca="1" ref="G68" ca="1">INDIRECT("mercancia!D"&amp;(INT((ROW()-2)/5)+2))</f>
        <v>900.234.567-2</v>
      </c>
      <c r="H68" s="27" t="str">
        <f>CHOOSE(MOD(13,3)+1,"CC-100 Bodega Central","CC-101 Sucursal Centro","CC-102 Sucursal Itagüí")</f>
        <v>CC-101 Sucursal Centro</v>
      </c>
      <c r="I68" s="27" t="str">
        <f>"IVA descontable factura "&amp;mercancia!A15</f>
        <v>IVA descontable factura FE-1014</v>
      </c>
      <c r="J68" s="30">
        <f ca="1">mercancia!I15</f>
        <v>1987400</v>
      </c>
      <c r="K68" s="30">
        <f>0</f>
        <v>0</v>
      </c>
      <c r="L68" s="31" t="str">
        <f>mercancia!A15</f>
        <v>FE-1014</v>
      </c>
    </row>
    <row r="69" spans="1:12" x14ac:dyDescent="0.35">
      <c r="A69" s="26" t="str">
        <f>"CC-MC-"&amp;TEXT(1013,"0000")</f>
        <v>CC-MC-1013</v>
      </c>
      <c r="B69" s="27" t="str">
        <f>"Causación Compra"</f>
        <v>Causación Compra</v>
      </c>
      <c r="C69" s="28">
        <f ca="1">mercancia!B15</f>
        <v>46063</v>
      </c>
      <c r="D69" s="69" t="str">
        <f>"236540"</f>
        <v>236540</v>
      </c>
      <c r="E69" s="27" t="str">
        <f>"Retención en la fuente - Compras"</f>
        <v>Retención en la fuente - Compras</v>
      </c>
      <c r="F69" s="27" t="str">
        <f ca="1">mercancia!C15</f>
        <v>Ferretería Antioqueña Ltda.</v>
      </c>
      <c r="G69" s="29" t="str" cm="1">
        <f t="array" aca="1" ref="G69" ca="1">INDIRECT("mercancia!D"&amp;(INT((ROW()-2)/5)+2))</f>
        <v>900.234.567-2</v>
      </c>
      <c r="H69" s="27" t="str">
        <f>CHOOSE(MOD(13,3)+1,"CC-100 Bodega Central","CC-101 Sucursal Centro","CC-102 Sucursal Itagüí")</f>
        <v>CC-101 Sucursal Centro</v>
      </c>
      <c r="I69" s="27" t="str">
        <f ca="1">"ReteFuente "&amp;TEXT(mercancia!K15,"0.0%")&amp;" sobre compra "&amp;mercancia!A15</f>
        <v>ReteFuente 04% sobre compra FE-1014</v>
      </c>
      <c r="J69" s="30">
        <f>0</f>
        <v>0</v>
      </c>
      <c r="K69" s="30">
        <f ca="1">mercancia!L15</f>
        <v>366100</v>
      </c>
      <c r="L69" s="31" t="str">
        <f>mercancia!A15</f>
        <v>FE-1014</v>
      </c>
    </row>
    <row r="70" spans="1:12" x14ac:dyDescent="0.35">
      <c r="A70" s="26" t="str">
        <f>"CC-MC-"&amp;TEXT(1013,"0000")</f>
        <v>CC-MC-1013</v>
      </c>
      <c r="B70" s="27" t="str">
        <f>"Causación Compra"</f>
        <v>Causación Compra</v>
      </c>
      <c r="C70" s="28">
        <f ca="1">mercancia!B15</f>
        <v>46063</v>
      </c>
      <c r="D70" s="69" t="str">
        <f>"236805"</f>
        <v>236805</v>
      </c>
      <c r="E70" s="27" t="str">
        <f>"Retención ICA - Medellín 11.04‰"</f>
        <v>Retención ICA - Medellín 11.04‰</v>
      </c>
      <c r="F70" s="27" t="str">
        <f ca="1">mercancia!C15</f>
        <v>Ferretería Antioqueña Ltda.</v>
      </c>
      <c r="G70" s="29" t="str" cm="1">
        <f t="array" aca="1" ref="G70" ca="1">INDIRECT("mercancia!D"&amp;(INT((ROW()-2)/5)+2))</f>
        <v>900.234.567-2</v>
      </c>
      <c r="H70" s="27" t="str">
        <f>CHOOSE(MOD(13,3)+1,"CC-100 Bodega Central","CC-101 Sucursal Centro","CC-102 Sucursal Itagüí")</f>
        <v>CC-101 Sucursal Centro</v>
      </c>
      <c r="I70" s="27" t="str">
        <f>"ReteICA Medellín sobre compra "&amp;mercancia!A15</f>
        <v>ReteICA Medellín sobre compra FE-1014</v>
      </c>
      <c r="J70" s="30">
        <f>0</f>
        <v>0</v>
      </c>
      <c r="K70" s="30">
        <f ca="1">mercancia!N15</f>
        <v>115478</v>
      </c>
      <c r="L70" s="31" t="str">
        <f>mercancia!A15</f>
        <v>FE-1014</v>
      </c>
    </row>
    <row r="71" spans="1:12" x14ac:dyDescent="0.35">
      <c r="A71" s="26" t="str">
        <f>"CC-MC-"&amp;TEXT(1013,"0000")</f>
        <v>CC-MC-1013</v>
      </c>
      <c r="B71" s="27" t="str">
        <f>"Causación Compra"</f>
        <v>Causación Compra</v>
      </c>
      <c r="C71" s="28">
        <f ca="1">mercancia!B15</f>
        <v>46063</v>
      </c>
      <c r="D71" s="69" t="str">
        <f>"220505"</f>
        <v>220505</v>
      </c>
      <c r="E71" s="27" t="str">
        <f>"Proveedores nacionales"</f>
        <v>Proveedores nacionales</v>
      </c>
      <c r="F71" s="27" t="str">
        <f ca="1">mercancia!C15</f>
        <v>Ferretería Antioqueña Ltda.</v>
      </c>
      <c r="G71" s="29" t="str" cm="1">
        <f t="array" aca="1" ref="G71" ca="1">INDIRECT("mercancia!D"&amp;(INT((ROW()-2)/5)+2))</f>
        <v>900.234.567-2</v>
      </c>
      <c r="H71" s="27" t="str">
        <f>CHOOSE(MOD(13,3)+1,"CC-100 Bodega Central","CC-101 Sucursal Centro","CC-102 Sucursal Itagüí")</f>
        <v>CC-101 Sucursal Centro</v>
      </c>
      <c r="I71" s="27" t="str">
        <f>"Cuenta por pagar proveedor - "&amp;mercancia!A15</f>
        <v>Cuenta por pagar proveedor - FE-1014</v>
      </c>
      <c r="J71" s="30">
        <f>0</f>
        <v>0</v>
      </c>
      <c r="K71" s="30">
        <f ca="1">mercancia!O15</f>
        <v>11965822</v>
      </c>
      <c r="L71" s="31" t="str">
        <f>mercancia!A15</f>
        <v>FE-1014</v>
      </c>
    </row>
    <row r="72" spans="1:12" x14ac:dyDescent="0.35">
      <c r="A72" s="20" t="str">
        <f>"CC-MC-"&amp;TEXT(1014,"0000")</f>
        <v>CC-MC-1014</v>
      </c>
      <c r="B72" s="21" t="str">
        <f>"Causación Compra"</f>
        <v>Causación Compra</v>
      </c>
      <c r="C72" s="22">
        <f ca="1">mercancia!B16</f>
        <v>46024</v>
      </c>
      <c r="D72" s="68" t="str">
        <f>"143505"</f>
        <v>143505</v>
      </c>
      <c r="E72" s="21" t="str">
        <f>"Mercancías no fabricadas por la empresa"</f>
        <v>Mercancías no fabricadas por la empresa</v>
      </c>
      <c r="F72" s="21" t="str">
        <f ca="1">mercancia!C16</f>
        <v>Materiales La Estrella S.A.S.</v>
      </c>
      <c r="G72" s="23" t="str" cm="1">
        <f t="array" aca="1" ref="G72" ca="1">INDIRECT("mercancia!D"&amp;(INT((ROW()-2)/5)+2))</f>
        <v>901.345.678-3</v>
      </c>
      <c r="H72" s="21" t="str">
        <f>CHOOSE(MOD(14,3)+1,"CC-100 Bodega Central","CC-101 Sucursal Centro","CC-102 Sucursal Itagüí")</f>
        <v>CC-102 Sucursal Itagüí</v>
      </c>
      <c r="I72" s="21" t="str">
        <f ca="1">"Compra mercancía - "&amp;mercancia!E16&amp;" - "&amp;mercancia!A16</f>
        <v>Compra mercancía - Materiales La Estrella S.A.S. - FE-1015</v>
      </c>
      <c r="J72" s="24">
        <f ca="1">mercancia!H16</f>
        <v>12408000</v>
      </c>
      <c r="K72" s="24">
        <f>0</f>
        <v>0</v>
      </c>
      <c r="L72" s="25" t="str">
        <f>mercancia!A16</f>
        <v>FE-1015</v>
      </c>
    </row>
    <row r="73" spans="1:12" x14ac:dyDescent="0.35">
      <c r="A73" s="20" t="str">
        <f>"CC-MC-"&amp;TEXT(1014,"0000")</f>
        <v>CC-MC-1014</v>
      </c>
      <c r="B73" s="21" t="str">
        <f>"Causación Compra"</f>
        <v>Causación Compra</v>
      </c>
      <c r="C73" s="22">
        <f ca="1">mercancia!B16</f>
        <v>46024</v>
      </c>
      <c r="D73" s="68" t="str">
        <f>"240805"</f>
        <v>240805</v>
      </c>
      <c r="E73" s="21" t="str">
        <f>"IVA descontable - 19%"</f>
        <v>IVA descontable - 19%</v>
      </c>
      <c r="F73" s="21" t="str">
        <f ca="1">mercancia!C16</f>
        <v>Materiales La Estrella S.A.S.</v>
      </c>
      <c r="G73" s="23" t="str" cm="1">
        <f t="array" aca="1" ref="G73" ca="1">INDIRECT("mercancia!D"&amp;(INT((ROW()-2)/5)+2))</f>
        <v>901.345.678-3</v>
      </c>
      <c r="H73" s="21" t="str">
        <f>CHOOSE(MOD(14,3)+1,"CC-100 Bodega Central","CC-101 Sucursal Centro","CC-102 Sucursal Itagüí")</f>
        <v>CC-102 Sucursal Itagüí</v>
      </c>
      <c r="I73" s="21" t="str">
        <f>"IVA descontable factura "&amp;mercancia!A16</f>
        <v>IVA descontable factura FE-1015</v>
      </c>
      <c r="J73" s="24">
        <f ca="1">mercancia!I16</f>
        <v>2357520</v>
      </c>
      <c r="K73" s="24">
        <f>0</f>
        <v>0</v>
      </c>
      <c r="L73" s="25" t="str">
        <f>mercancia!A16</f>
        <v>FE-1015</v>
      </c>
    </row>
    <row r="74" spans="1:12" x14ac:dyDescent="0.35">
      <c r="A74" s="20" t="str">
        <f>"CC-MC-"&amp;TEXT(1014,"0000")</f>
        <v>CC-MC-1014</v>
      </c>
      <c r="B74" s="21" t="str">
        <f>"Causación Compra"</f>
        <v>Causación Compra</v>
      </c>
      <c r="C74" s="22">
        <f ca="1">mercancia!B16</f>
        <v>46024</v>
      </c>
      <c r="D74" s="68" t="str">
        <f>"236540"</f>
        <v>236540</v>
      </c>
      <c r="E74" s="21" t="str">
        <f>"Retención en la fuente - Compras"</f>
        <v>Retención en la fuente - Compras</v>
      </c>
      <c r="F74" s="21" t="str">
        <f ca="1">mercancia!C16</f>
        <v>Materiales La Estrella S.A.S.</v>
      </c>
      <c r="G74" s="23" t="str" cm="1">
        <f t="array" aca="1" ref="G74" ca="1">INDIRECT("mercancia!D"&amp;(INT((ROW()-2)/5)+2))</f>
        <v>901.345.678-3</v>
      </c>
      <c r="H74" s="21" t="str">
        <f>CHOOSE(MOD(14,3)+1,"CC-100 Bodega Central","CC-101 Sucursal Centro","CC-102 Sucursal Itagüí")</f>
        <v>CC-102 Sucursal Itagüí</v>
      </c>
      <c r="I74" s="21" t="str">
        <f ca="1">"ReteFuente "&amp;TEXT(mercancia!K16,"0.0%")&amp;" sobre compra "&amp;mercancia!A16</f>
        <v>ReteFuente 03% sobre compra FE-1015</v>
      </c>
      <c r="J74" s="24">
        <f>0</f>
        <v>0</v>
      </c>
      <c r="K74" s="24">
        <f ca="1">mercancia!L16</f>
        <v>310200</v>
      </c>
      <c r="L74" s="25" t="str">
        <f>mercancia!A16</f>
        <v>FE-1015</v>
      </c>
    </row>
    <row r="75" spans="1:12" x14ac:dyDescent="0.35">
      <c r="A75" s="20" t="str">
        <f>"CC-MC-"&amp;TEXT(1014,"0000")</f>
        <v>CC-MC-1014</v>
      </c>
      <c r="B75" s="21" t="str">
        <f>"Causación Compra"</f>
        <v>Causación Compra</v>
      </c>
      <c r="C75" s="22">
        <f ca="1">mercancia!B16</f>
        <v>46024</v>
      </c>
      <c r="D75" s="68" t="str">
        <f>"236805"</f>
        <v>236805</v>
      </c>
      <c r="E75" s="21" t="str">
        <f>"Retención ICA - Medellín 11.04‰"</f>
        <v>Retención ICA - Medellín 11.04‰</v>
      </c>
      <c r="F75" s="21" t="str">
        <f ca="1">mercancia!C16</f>
        <v>Materiales La Estrella S.A.S.</v>
      </c>
      <c r="G75" s="23" t="str" cm="1">
        <f t="array" aca="1" ref="G75" ca="1">INDIRECT("mercancia!D"&amp;(INT((ROW()-2)/5)+2))</f>
        <v>901.345.678-3</v>
      </c>
      <c r="H75" s="21" t="str">
        <f>CHOOSE(MOD(14,3)+1,"CC-100 Bodega Central","CC-101 Sucursal Centro","CC-102 Sucursal Itagüí")</f>
        <v>CC-102 Sucursal Itagüí</v>
      </c>
      <c r="I75" s="21" t="str">
        <f>"ReteICA Medellín sobre compra "&amp;mercancia!A16</f>
        <v>ReteICA Medellín sobre compra FE-1015</v>
      </c>
      <c r="J75" s="24">
        <f>0</f>
        <v>0</v>
      </c>
      <c r="K75" s="24">
        <f ca="1">mercancia!N16</f>
        <v>136984</v>
      </c>
      <c r="L75" s="25" t="str">
        <f>mercancia!A16</f>
        <v>FE-1015</v>
      </c>
    </row>
    <row r="76" spans="1:12" x14ac:dyDescent="0.35">
      <c r="A76" s="20" t="str">
        <f>"CC-MC-"&amp;TEXT(1014,"0000")</f>
        <v>CC-MC-1014</v>
      </c>
      <c r="B76" s="21" t="str">
        <f>"Causación Compra"</f>
        <v>Causación Compra</v>
      </c>
      <c r="C76" s="22">
        <f ca="1">mercancia!B16</f>
        <v>46024</v>
      </c>
      <c r="D76" s="68" t="str">
        <f>"220505"</f>
        <v>220505</v>
      </c>
      <c r="E76" s="21" t="str">
        <f>"Proveedores nacionales"</f>
        <v>Proveedores nacionales</v>
      </c>
      <c r="F76" s="21" t="str">
        <f ca="1">mercancia!C16</f>
        <v>Materiales La Estrella S.A.S.</v>
      </c>
      <c r="G76" s="23" t="str" cm="1">
        <f t="array" aca="1" ref="G76" ca="1">INDIRECT("mercancia!D"&amp;(INT((ROW()-2)/5)+2))</f>
        <v>901.345.678-3</v>
      </c>
      <c r="H76" s="21" t="str">
        <f>CHOOSE(MOD(14,3)+1,"CC-100 Bodega Central","CC-101 Sucursal Centro","CC-102 Sucursal Itagüí")</f>
        <v>CC-102 Sucursal Itagüí</v>
      </c>
      <c r="I76" s="21" t="str">
        <f>"Cuenta por pagar proveedor - "&amp;mercancia!A16</f>
        <v>Cuenta por pagar proveedor - FE-1015</v>
      </c>
      <c r="J76" s="24">
        <f>0</f>
        <v>0</v>
      </c>
      <c r="K76" s="24">
        <f ca="1">mercancia!O16</f>
        <v>14318336</v>
      </c>
      <c r="L76" s="25" t="str">
        <f>mercancia!A16</f>
        <v>FE-1015</v>
      </c>
    </row>
    <row r="77" spans="1:12" x14ac:dyDescent="0.35">
      <c r="A77" s="26" t="str">
        <f>"CC-MC-"&amp;TEXT(1015,"0000")</f>
        <v>CC-MC-1015</v>
      </c>
      <c r="B77" s="27" t="str">
        <f>"Causación Compra"</f>
        <v>Causación Compra</v>
      </c>
      <c r="C77" s="28">
        <f ca="1">mercancia!B17</f>
        <v>46046</v>
      </c>
      <c r="D77" s="69" t="str">
        <f>"143505"</f>
        <v>143505</v>
      </c>
      <c r="E77" s="27" t="str">
        <f>"Mercancías no fabricadas por la empresa"</f>
        <v>Mercancías no fabricadas por la empresa</v>
      </c>
      <c r="F77" s="27" t="str">
        <f ca="1">mercancia!C17</f>
        <v>Aceros de la Montaña S.A.S.</v>
      </c>
      <c r="G77" s="29" t="str" cm="1">
        <f t="array" aca="1" ref="G77" ca="1">INDIRECT("mercancia!D"&amp;(INT((ROW()-2)/5)+2))</f>
        <v>900.123.456-1</v>
      </c>
      <c r="H77" s="27" t="str">
        <f>CHOOSE(MOD(15,3)+1,"CC-100 Bodega Central","CC-101 Sucursal Centro","CC-102 Sucursal Itagüí")</f>
        <v>CC-100 Bodega Central</v>
      </c>
      <c r="I77" s="27" t="str">
        <f ca="1">"Compra mercancía - "&amp;mercancia!E17&amp;" - "&amp;mercancia!A17</f>
        <v>Compra mercancía - Ferretería Antioqueña Ltda. - FE-1016</v>
      </c>
      <c r="J77" s="30">
        <f ca="1">mercancia!H17</f>
        <v>11982600</v>
      </c>
      <c r="K77" s="30">
        <f>0</f>
        <v>0</v>
      </c>
      <c r="L77" s="31" t="str">
        <f>mercancia!A17</f>
        <v>FE-1016</v>
      </c>
    </row>
    <row r="78" spans="1:12" x14ac:dyDescent="0.35">
      <c r="A78" s="26" t="str">
        <f>"CC-MC-"&amp;TEXT(1015,"0000")</f>
        <v>CC-MC-1015</v>
      </c>
      <c r="B78" s="27" t="str">
        <f>"Causación Compra"</f>
        <v>Causación Compra</v>
      </c>
      <c r="C78" s="28">
        <f ca="1">mercancia!B17</f>
        <v>46046</v>
      </c>
      <c r="D78" s="69" t="str">
        <f>"240805"</f>
        <v>240805</v>
      </c>
      <c r="E78" s="27" t="str">
        <f>"IVA descontable - 19%"</f>
        <v>IVA descontable - 19%</v>
      </c>
      <c r="F78" s="27" t="str">
        <f ca="1">mercancia!C17</f>
        <v>Aceros de la Montaña S.A.S.</v>
      </c>
      <c r="G78" s="29" t="str" cm="1">
        <f t="array" aca="1" ref="G78" ca="1">INDIRECT("mercancia!D"&amp;(INT((ROW()-2)/5)+2))</f>
        <v>900.123.456-1</v>
      </c>
      <c r="H78" s="27" t="str">
        <f>CHOOSE(MOD(15,3)+1,"CC-100 Bodega Central","CC-101 Sucursal Centro","CC-102 Sucursal Itagüí")</f>
        <v>CC-100 Bodega Central</v>
      </c>
      <c r="I78" s="27" t="str">
        <f>"IVA descontable factura "&amp;mercancia!A17</f>
        <v>IVA descontable factura FE-1016</v>
      </c>
      <c r="J78" s="30">
        <f ca="1">mercancia!I17</f>
        <v>2276694</v>
      </c>
      <c r="K78" s="30">
        <f>0</f>
        <v>0</v>
      </c>
      <c r="L78" s="31" t="str">
        <f>mercancia!A17</f>
        <v>FE-1016</v>
      </c>
    </row>
    <row r="79" spans="1:12" x14ac:dyDescent="0.35">
      <c r="A79" s="26" t="str">
        <f>"CC-MC-"&amp;TEXT(1015,"0000")</f>
        <v>CC-MC-1015</v>
      </c>
      <c r="B79" s="27" t="str">
        <f>"Causación Compra"</f>
        <v>Causación Compra</v>
      </c>
      <c r="C79" s="28">
        <f ca="1">mercancia!B17</f>
        <v>46046</v>
      </c>
      <c r="D79" s="69" t="str">
        <f>"236540"</f>
        <v>236540</v>
      </c>
      <c r="E79" s="27" t="str">
        <f>"Retención en la fuente - Compras"</f>
        <v>Retención en la fuente - Compras</v>
      </c>
      <c r="F79" s="27" t="str">
        <f ca="1">mercancia!C17</f>
        <v>Aceros de la Montaña S.A.S.</v>
      </c>
      <c r="G79" s="29" t="str" cm="1">
        <f t="array" aca="1" ref="G79" ca="1">INDIRECT("mercancia!D"&amp;(INT((ROW()-2)/5)+2))</f>
        <v>900.123.456-1</v>
      </c>
      <c r="H79" s="27" t="str">
        <f>CHOOSE(MOD(15,3)+1,"CC-100 Bodega Central","CC-101 Sucursal Centro","CC-102 Sucursal Itagüí")</f>
        <v>CC-100 Bodega Central</v>
      </c>
      <c r="I79" s="27" t="str">
        <f ca="1">"ReteFuente "&amp;TEXT(mercancia!K17,"0.0%")&amp;" sobre compra "&amp;mercancia!A17</f>
        <v>ReteFuente 03% sobre compra FE-1016</v>
      </c>
      <c r="J79" s="30">
        <f>0</f>
        <v>0</v>
      </c>
      <c r="K79" s="30">
        <f ca="1">mercancia!L17</f>
        <v>299565</v>
      </c>
      <c r="L79" s="31" t="str">
        <f>mercancia!A17</f>
        <v>FE-1016</v>
      </c>
    </row>
    <row r="80" spans="1:12" x14ac:dyDescent="0.35">
      <c r="A80" s="26" t="str">
        <f>"CC-MC-"&amp;TEXT(1015,"0000")</f>
        <v>CC-MC-1015</v>
      </c>
      <c r="B80" s="27" t="str">
        <f>"Causación Compra"</f>
        <v>Causación Compra</v>
      </c>
      <c r="C80" s="28">
        <f ca="1">mercancia!B17</f>
        <v>46046</v>
      </c>
      <c r="D80" s="69" t="str">
        <f>"236805"</f>
        <v>236805</v>
      </c>
      <c r="E80" s="27" t="str">
        <f>"Retención ICA - Medellín 11.04‰"</f>
        <v>Retención ICA - Medellín 11.04‰</v>
      </c>
      <c r="F80" s="27" t="str">
        <f ca="1">mercancia!C17</f>
        <v>Aceros de la Montaña S.A.S.</v>
      </c>
      <c r="G80" s="29" t="str" cm="1">
        <f t="array" aca="1" ref="G80" ca="1">INDIRECT("mercancia!D"&amp;(INT((ROW()-2)/5)+2))</f>
        <v>900.123.456-1</v>
      </c>
      <c r="H80" s="27" t="str">
        <f>CHOOSE(MOD(15,3)+1,"CC-100 Bodega Central","CC-101 Sucursal Centro","CC-102 Sucursal Itagüí")</f>
        <v>CC-100 Bodega Central</v>
      </c>
      <c r="I80" s="27" t="str">
        <f>"ReteICA Medellín sobre compra "&amp;mercancia!A17</f>
        <v>ReteICA Medellín sobre compra FE-1016</v>
      </c>
      <c r="J80" s="30">
        <f>0</f>
        <v>0</v>
      </c>
      <c r="K80" s="30">
        <f ca="1">mercancia!N17</f>
        <v>132288</v>
      </c>
      <c r="L80" s="31" t="str">
        <f>mercancia!A17</f>
        <v>FE-1016</v>
      </c>
    </row>
    <row r="81" spans="1:12" x14ac:dyDescent="0.35">
      <c r="A81" s="26" t="str">
        <f>"CC-MC-"&amp;TEXT(1015,"0000")</f>
        <v>CC-MC-1015</v>
      </c>
      <c r="B81" s="27" t="str">
        <f>"Causación Compra"</f>
        <v>Causación Compra</v>
      </c>
      <c r="C81" s="28">
        <f ca="1">mercancia!B17</f>
        <v>46046</v>
      </c>
      <c r="D81" s="69" t="str">
        <f>"220505"</f>
        <v>220505</v>
      </c>
      <c r="E81" s="27" t="str">
        <f>"Proveedores nacionales"</f>
        <v>Proveedores nacionales</v>
      </c>
      <c r="F81" s="27" t="str">
        <f ca="1">mercancia!C17</f>
        <v>Aceros de la Montaña S.A.S.</v>
      </c>
      <c r="G81" s="29" t="str" cm="1">
        <f t="array" aca="1" ref="G81" ca="1">INDIRECT("mercancia!D"&amp;(INT((ROW()-2)/5)+2))</f>
        <v>900.123.456-1</v>
      </c>
      <c r="H81" s="27" t="str">
        <f>CHOOSE(MOD(15,3)+1,"CC-100 Bodega Central","CC-101 Sucursal Centro","CC-102 Sucursal Itagüí")</f>
        <v>CC-100 Bodega Central</v>
      </c>
      <c r="I81" s="27" t="str">
        <f>"Cuenta por pagar proveedor - "&amp;mercancia!A17</f>
        <v>Cuenta por pagar proveedor - FE-1016</v>
      </c>
      <c r="J81" s="30">
        <f>0</f>
        <v>0</v>
      </c>
      <c r="K81" s="30">
        <f ca="1">mercancia!O17</f>
        <v>13827441</v>
      </c>
      <c r="L81" s="31" t="str">
        <f>mercancia!A17</f>
        <v>FE-1016</v>
      </c>
    </row>
    <row r="82" spans="1:12" x14ac:dyDescent="0.35">
      <c r="A82" s="20" t="str">
        <f>"CC-MC-"&amp;TEXT(1016,"0000")</f>
        <v>CC-MC-1016</v>
      </c>
      <c r="B82" s="21" t="str">
        <f>"Causación Compra"</f>
        <v>Causación Compra</v>
      </c>
      <c r="C82" s="22">
        <f ca="1">mercancia!B18</f>
        <v>46093</v>
      </c>
      <c r="D82" s="68" t="str">
        <f>"143505"</f>
        <v>143505</v>
      </c>
      <c r="E82" s="21" t="str">
        <f>"Mercancías no fabricadas por la empresa"</f>
        <v>Mercancías no fabricadas por la empresa</v>
      </c>
      <c r="F82" s="21" t="str">
        <f ca="1">mercancia!C18</f>
        <v>Aceros de la Montaña S.A.S.</v>
      </c>
      <c r="G82" s="23" t="str" cm="1">
        <f t="array" aca="1" ref="G82" ca="1">INDIRECT("mercancia!D"&amp;(INT((ROW()-2)/5)+2))</f>
        <v>900.123.456-1</v>
      </c>
      <c r="H82" s="21" t="str">
        <f>CHOOSE(MOD(16,3)+1,"CC-100 Bodega Central","CC-101 Sucursal Centro","CC-102 Sucursal Itagüí")</f>
        <v>CC-101 Sucursal Centro</v>
      </c>
      <c r="I82" s="21" t="str">
        <f ca="1">"Compra mercancía - "&amp;mercancia!E18&amp;" - "&amp;mercancia!A18</f>
        <v>Compra mercancía - Llave de tubo 14" - FE-1017</v>
      </c>
      <c r="J82" s="24">
        <f ca="1">mercancia!H18</f>
        <v>5375700</v>
      </c>
      <c r="K82" s="24">
        <f>0</f>
        <v>0</v>
      </c>
      <c r="L82" s="25" t="str">
        <f>mercancia!A18</f>
        <v>FE-1017</v>
      </c>
    </row>
    <row r="83" spans="1:12" x14ac:dyDescent="0.35">
      <c r="A83" s="20" t="str">
        <f>"CC-MC-"&amp;TEXT(1016,"0000")</f>
        <v>CC-MC-1016</v>
      </c>
      <c r="B83" s="21" t="str">
        <f>"Causación Compra"</f>
        <v>Causación Compra</v>
      </c>
      <c r="C83" s="22">
        <f ca="1">mercancia!B18</f>
        <v>46093</v>
      </c>
      <c r="D83" s="68" t="str">
        <f>"240805"</f>
        <v>240805</v>
      </c>
      <c r="E83" s="21" t="str">
        <f>"IVA descontable - 19%"</f>
        <v>IVA descontable - 19%</v>
      </c>
      <c r="F83" s="21" t="str">
        <f ca="1">mercancia!C18</f>
        <v>Aceros de la Montaña S.A.S.</v>
      </c>
      <c r="G83" s="23" t="str" cm="1">
        <f t="array" aca="1" ref="G83" ca="1">INDIRECT("mercancia!D"&amp;(INT((ROW()-2)/5)+2))</f>
        <v>900.123.456-1</v>
      </c>
      <c r="H83" s="21" t="str">
        <f>CHOOSE(MOD(16,3)+1,"CC-100 Bodega Central","CC-101 Sucursal Centro","CC-102 Sucursal Itagüí")</f>
        <v>CC-101 Sucursal Centro</v>
      </c>
      <c r="I83" s="21" t="str">
        <f>"IVA descontable factura "&amp;mercancia!A18</f>
        <v>IVA descontable factura FE-1017</v>
      </c>
      <c r="J83" s="24">
        <f ca="1">mercancia!I18</f>
        <v>1021383</v>
      </c>
      <c r="K83" s="24">
        <f>0</f>
        <v>0</v>
      </c>
      <c r="L83" s="25" t="str">
        <f>mercancia!A18</f>
        <v>FE-1017</v>
      </c>
    </row>
    <row r="84" spans="1:12" x14ac:dyDescent="0.35">
      <c r="A84" s="20" t="str">
        <f>"CC-MC-"&amp;TEXT(1016,"0000")</f>
        <v>CC-MC-1016</v>
      </c>
      <c r="B84" s="21" t="str">
        <f>"Causación Compra"</f>
        <v>Causación Compra</v>
      </c>
      <c r="C84" s="22">
        <f ca="1">mercancia!B18</f>
        <v>46093</v>
      </c>
      <c r="D84" s="68" t="str">
        <f>"236540"</f>
        <v>236540</v>
      </c>
      <c r="E84" s="21" t="str">
        <f>"Retención en la fuente - Compras"</f>
        <v>Retención en la fuente - Compras</v>
      </c>
      <c r="F84" s="21" t="str">
        <f ca="1">mercancia!C18</f>
        <v>Aceros de la Montaña S.A.S.</v>
      </c>
      <c r="G84" s="23" t="str" cm="1">
        <f t="array" aca="1" ref="G84" ca="1">INDIRECT("mercancia!D"&amp;(INT((ROW()-2)/5)+2))</f>
        <v>900.123.456-1</v>
      </c>
      <c r="H84" s="21" t="str">
        <f>CHOOSE(MOD(16,3)+1,"CC-100 Bodega Central","CC-101 Sucursal Centro","CC-102 Sucursal Itagüí")</f>
        <v>CC-101 Sucursal Centro</v>
      </c>
      <c r="I84" s="21" t="str">
        <f ca="1">"ReteFuente "&amp;TEXT(mercancia!K18,"0.0%")&amp;" sobre compra "&amp;mercancia!A18</f>
        <v>ReteFuente 03% sobre compra FE-1017</v>
      </c>
      <c r="J84" s="24">
        <f>0</f>
        <v>0</v>
      </c>
      <c r="K84" s="24">
        <f ca="1">mercancia!L18</f>
        <v>134393</v>
      </c>
      <c r="L84" s="25" t="str">
        <f>mercancia!A18</f>
        <v>FE-1017</v>
      </c>
    </row>
    <row r="85" spans="1:12" x14ac:dyDescent="0.35">
      <c r="A85" s="20" t="str">
        <f>"CC-MC-"&amp;TEXT(1016,"0000")</f>
        <v>CC-MC-1016</v>
      </c>
      <c r="B85" s="21" t="str">
        <f>"Causación Compra"</f>
        <v>Causación Compra</v>
      </c>
      <c r="C85" s="22">
        <f ca="1">mercancia!B18</f>
        <v>46093</v>
      </c>
      <c r="D85" s="68" t="str">
        <f>"236805"</f>
        <v>236805</v>
      </c>
      <c r="E85" s="21" t="str">
        <f>"Retención ICA - Medellín 11.04‰"</f>
        <v>Retención ICA - Medellín 11.04‰</v>
      </c>
      <c r="F85" s="21" t="str">
        <f ca="1">mercancia!C18</f>
        <v>Aceros de la Montaña S.A.S.</v>
      </c>
      <c r="G85" s="23" t="str" cm="1">
        <f t="array" aca="1" ref="G85" ca="1">INDIRECT("mercancia!D"&amp;(INT((ROW()-2)/5)+2))</f>
        <v>900.123.456-1</v>
      </c>
      <c r="H85" s="21" t="str">
        <f>CHOOSE(MOD(16,3)+1,"CC-100 Bodega Central","CC-101 Sucursal Centro","CC-102 Sucursal Itagüí")</f>
        <v>CC-101 Sucursal Centro</v>
      </c>
      <c r="I85" s="21" t="str">
        <f>"ReteICA Medellín sobre compra "&amp;mercancia!A18</f>
        <v>ReteICA Medellín sobre compra FE-1017</v>
      </c>
      <c r="J85" s="24">
        <f>0</f>
        <v>0</v>
      </c>
      <c r="K85" s="24">
        <f ca="1">mercancia!N18</f>
        <v>59348</v>
      </c>
      <c r="L85" s="25" t="str">
        <f>mercancia!A18</f>
        <v>FE-1017</v>
      </c>
    </row>
    <row r="86" spans="1:12" x14ac:dyDescent="0.35">
      <c r="A86" s="20" t="str">
        <f>"CC-MC-"&amp;TEXT(1016,"0000")</f>
        <v>CC-MC-1016</v>
      </c>
      <c r="B86" s="21" t="str">
        <f>"Causación Compra"</f>
        <v>Causación Compra</v>
      </c>
      <c r="C86" s="22">
        <f ca="1">mercancia!B18</f>
        <v>46093</v>
      </c>
      <c r="D86" s="68" t="str">
        <f>"220505"</f>
        <v>220505</v>
      </c>
      <c r="E86" s="21" t="str">
        <f>"Proveedores nacionales"</f>
        <v>Proveedores nacionales</v>
      </c>
      <c r="F86" s="21" t="str">
        <f ca="1">mercancia!C18</f>
        <v>Aceros de la Montaña S.A.S.</v>
      </c>
      <c r="G86" s="23" t="str" cm="1">
        <f t="array" aca="1" ref="G86" ca="1">INDIRECT("mercancia!D"&amp;(INT((ROW()-2)/5)+2))</f>
        <v>900.123.456-1</v>
      </c>
      <c r="H86" s="21" t="str">
        <f>CHOOSE(MOD(16,3)+1,"CC-100 Bodega Central","CC-101 Sucursal Centro","CC-102 Sucursal Itagüí")</f>
        <v>CC-101 Sucursal Centro</v>
      </c>
      <c r="I86" s="21" t="str">
        <f>"Cuenta por pagar proveedor - "&amp;mercancia!A18</f>
        <v>Cuenta por pagar proveedor - FE-1017</v>
      </c>
      <c r="J86" s="24">
        <f>0</f>
        <v>0</v>
      </c>
      <c r="K86" s="24">
        <f ca="1">mercancia!O18</f>
        <v>6203342</v>
      </c>
      <c r="L86" s="25" t="str">
        <f>mercancia!A18</f>
        <v>FE-1017</v>
      </c>
    </row>
    <row r="87" spans="1:12" x14ac:dyDescent="0.35">
      <c r="A87" s="26" t="str">
        <f>"CC-MC-"&amp;TEXT(1017,"0000")</f>
        <v>CC-MC-1017</v>
      </c>
      <c r="B87" s="27" t="str">
        <f>"Causación Compra"</f>
        <v>Causación Compra</v>
      </c>
      <c r="C87" s="28">
        <f ca="1">mercancia!B19</f>
        <v>46043</v>
      </c>
      <c r="D87" s="69" t="str">
        <f>"143505"</f>
        <v>143505</v>
      </c>
      <c r="E87" s="27" t="str">
        <f>"Mercancías no fabricadas por la empresa"</f>
        <v>Mercancías no fabricadas por la empresa</v>
      </c>
      <c r="F87" s="27" t="str">
        <f ca="1">mercancia!C19</f>
        <v>Pinturas y Acabados Aburrá S.A.S.</v>
      </c>
      <c r="G87" s="29" t="str" cm="1">
        <f t="array" aca="1" ref="G87" ca="1">INDIRECT("mercancia!D"&amp;(INT((ROW()-2)/5)+2))</f>
        <v>900.789.012-7</v>
      </c>
      <c r="H87" s="27" t="str">
        <f>CHOOSE(MOD(17,3)+1,"CC-100 Bodega Central","CC-101 Sucursal Centro","CC-102 Sucursal Itagüí")</f>
        <v>CC-102 Sucursal Itagüí</v>
      </c>
      <c r="I87" s="27" t="str">
        <f ca="1">"Compra mercancía - "&amp;mercancia!E19&amp;" - "&amp;mercancia!A19</f>
        <v>Compra mercancía - Aceros de la Montaña S.A.S. - FE-1018</v>
      </c>
      <c r="J87" s="30">
        <f ca="1">mercancia!H19</f>
        <v>3880500</v>
      </c>
      <c r="K87" s="30">
        <f>0</f>
        <v>0</v>
      </c>
      <c r="L87" s="31" t="str">
        <f>mercancia!A19</f>
        <v>FE-1018</v>
      </c>
    </row>
    <row r="88" spans="1:12" x14ac:dyDescent="0.35">
      <c r="A88" s="26" t="str">
        <f>"CC-MC-"&amp;TEXT(1017,"0000")</f>
        <v>CC-MC-1017</v>
      </c>
      <c r="B88" s="27" t="str">
        <f>"Causación Compra"</f>
        <v>Causación Compra</v>
      </c>
      <c r="C88" s="28">
        <f ca="1">mercancia!B19</f>
        <v>46043</v>
      </c>
      <c r="D88" s="69" t="str">
        <f>"240805"</f>
        <v>240805</v>
      </c>
      <c r="E88" s="27" t="str">
        <f>"IVA descontable - 19%"</f>
        <v>IVA descontable - 19%</v>
      </c>
      <c r="F88" s="27" t="str">
        <f ca="1">mercancia!C19</f>
        <v>Pinturas y Acabados Aburrá S.A.S.</v>
      </c>
      <c r="G88" s="29" t="str" cm="1">
        <f t="array" aca="1" ref="G88" ca="1">INDIRECT("mercancia!D"&amp;(INT((ROW()-2)/5)+2))</f>
        <v>900.789.012-7</v>
      </c>
      <c r="H88" s="27" t="str">
        <f>CHOOSE(MOD(17,3)+1,"CC-100 Bodega Central","CC-101 Sucursal Centro","CC-102 Sucursal Itagüí")</f>
        <v>CC-102 Sucursal Itagüí</v>
      </c>
      <c r="I88" s="27" t="str">
        <f>"IVA descontable factura "&amp;mercancia!A19</f>
        <v>IVA descontable factura FE-1018</v>
      </c>
      <c r="J88" s="30">
        <f ca="1">mercancia!I19</f>
        <v>737295</v>
      </c>
      <c r="K88" s="30">
        <f>0</f>
        <v>0</v>
      </c>
      <c r="L88" s="31" t="str">
        <f>mercancia!A19</f>
        <v>FE-1018</v>
      </c>
    </row>
    <row r="89" spans="1:12" x14ac:dyDescent="0.35">
      <c r="A89" s="26" t="str">
        <f>"CC-MC-"&amp;TEXT(1017,"0000")</f>
        <v>CC-MC-1017</v>
      </c>
      <c r="B89" s="27" t="str">
        <f>"Causación Compra"</f>
        <v>Causación Compra</v>
      </c>
      <c r="C89" s="28">
        <f ca="1">mercancia!B19</f>
        <v>46043</v>
      </c>
      <c r="D89" s="69" t="str">
        <f>"236540"</f>
        <v>236540</v>
      </c>
      <c r="E89" s="27" t="str">
        <f>"Retención en la fuente - Compras"</f>
        <v>Retención en la fuente - Compras</v>
      </c>
      <c r="F89" s="27" t="str">
        <f ca="1">mercancia!C19</f>
        <v>Pinturas y Acabados Aburrá S.A.S.</v>
      </c>
      <c r="G89" s="29" t="str" cm="1">
        <f t="array" aca="1" ref="G89" ca="1">INDIRECT("mercancia!D"&amp;(INT((ROW()-2)/5)+2))</f>
        <v>900.789.012-7</v>
      </c>
      <c r="H89" s="27" t="str">
        <f>CHOOSE(MOD(17,3)+1,"CC-100 Bodega Central","CC-101 Sucursal Centro","CC-102 Sucursal Itagüí")</f>
        <v>CC-102 Sucursal Itagüí</v>
      </c>
      <c r="I89" s="27" t="str">
        <f ca="1">"ReteFuente "&amp;TEXT(mercancia!K19,"0.0%")&amp;" sobre compra "&amp;mercancia!A19</f>
        <v>ReteFuente 04% sobre compra FE-1018</v>
      </c>
      <c r="J89" s="30">
        <f>0</f>
        <v>0</v>
      </c>
      <c r="K89" s="30">
        <f ca="1">mercancia!L19</f>
        <v>135818</v>
      </c>
      <c r="L89" s="31" t="str">
        <f>mercancia!A19</f>
        <v>FE-1018</v>
      </c>
    </row>
    <row r="90" spans="1:12" x14ac:dyDescent="0.35">
      <c r="A90" s="26" t="str">
        <f>"CC-MC-"&amp;TEXT(1017,"0000")</f>
        <v>CC-MC-1017</v>
      </c>
      <c r="B90" s="27" t="str">
        <f>"Causación Compra"</f>
        <v>Causación Compra</v>
      </c>
      <c r="C90" s="28">
        <f ca="1">mercancia!B19</f>
        <v>46043</v>
      </c>
      <c r="D90" s="69" t="str">
        <f>"236805"</f>
        <v>236805</v>
      </c>
      <c r="E90" s="27" t="str">
        <f>"Retención ICA - Medellín 11.04‰"</f>
        <v>Retención ICA - Medellín 11.04‰</v>
      </c>
      <c r="F90" s="27" t="str">
        <f ca="1">mercancia!C19</f>
        <v>Pinturas y Acabados Aburrá S.A.S.</v>
      </c>
      <c r="G90" s="29" t="str" cm="1">
        <f t="array" aca="1" ref="G90" ca="1">INDIRECT("mercancia!D"&amp;(INT((ROW()-2)/5)+2))</f>
        <v>900.789.012-7</v>
      </c>
      <c r="H90" s="27" t="str">
        <f>CHOOSE(MOD(17,3)+1,"CC-100 Bodega Central","CC-101 Sucursal Centro","CC-102 Sucursal Itagüí")</f>
        <v>CC-102 Sucursal Itagüí</v>
      </c>
      <c r="I90" s="27" t="str">
        <f>"ReteICA Medellín sobre compra "&amp;mercancia!A19</f>
        <v>ReteICA Medellín sobre compra FE-1018</v>
      </c>
      <c r="J90" s="30">
        <f>0</f>
        <v>0</v>
      </c>
      <c r="K90" s="30">
        <f ca="1">mercancia!N19</f>
        <v>42841</v>
      </c>
      <c r="L90" s="31" t="str">
        <f>mercancia!A19</f>
        <v>FE-1018</v>
      </c>
    </row>
    <row r="91" spans="1:12" x14ac:dyDescent="0.35">
      <c r="A91" s="26" t="str">
        <f>"CC-MC-"&amp;TEXT(1017,"0000")</f>
        <v>CC-MC-1017</v>
      </c>
      <c r="B91" s="27" t="str">
        <f>"Causación Compra"</f>
        <v>Causación Compra</v>
      </c>
      <c r="C91" s="28">
        <f ca="1">mercancia!B19</f>
        <v>46043</v>
      </c>
      <c r="D91" s="69" t="str">
        <f>"220505"</f>
        <v>220505</v>
      </c>
      <c r="E91" s="27" t="str">
        <f>"Proveedores nacionales"</f>
        <v>Proveedores nacionales</v>
      </c>
      <c r="F91" s="27" t="str">
        <f ca="1">mercancia!C19</f>
        <v>Pinturas y Acabados Aburrá S.A.S.</v>
      </c>
      <c r="G91" s="29" t="str" cm="1">
        <f t="array" aca="1" ref="G91" ca="1">INDIRECT("mercancia!D"&amp;(INT((ROW()-2)/5)+2))</f>
        <v>900.789.012-7</v>
      </c>
      <c r="H91" s="27" t="str">
        <f>CHOOSE(MOD(17,3)+1,"CC-100 Bodega Central","CC-101 Sucursal Centro","CC-102 Sucursal Itagüí")</f>
        <v>CC-102 Sucursal Itagüí</v>
      </c>
      <c r="I91" s="27" t="str">
        <f>"Cuenta por pagar proveedor - "&amp;mercancia!A19</f>
        <v>Cuenta por pagar proveedor - FE-1018</v>
      </c>
      <c r="J91" s="30">
        <f>0</f>
        <v>0</v>
      </c>
      <c r="K91" s="30">
        <f ca="1">mercancia!O19</f>
        <v>4439136</v>
      </c>
      <c r="L91" s="31" t="str">
        <f>mercancia!A19</f>
        <v>FE-1018</v>
      </c>
    </row>
    <row r="92" spans="1:12" x14ac:dyDescent="0.35">
      <c r="A92" s="20" t="str">
        <f>"CC-MC-"&amp;TEXT(1018,"0000")</f>
        <v>CC-MC-1018</v>
      </c>
      <c r="B92" s="21" t="str">
        <f>"Causación Compra"</f>
        <v>Causación Compra</v>
      </c>
      <c r="C92" s="22">
        <f ca="1">mercancia!B20</f>
        <v>46079</v>
      </c>
      <c r="D92" s="68" t="str">
        <f>"143505"</f>
        <v>143505</v>
      </c>
      <c r="E92" s="21" t="str">
        <f>"Mercancías no fabricadas por la empresa"</f>
        <v>Mercancías no fabricadas por la empresa</v>
      </c>
      <c r="F92" s="21" t="str">
        <f ca="1">mercancia!C20</f>
        <v>Aceros de la Montaña S.A.S.</v>
      </c>
      <c r="G92" s="23" t="str" cm="1">
        <f t="array" aca="1" ref="G92" ca="1">INDIRECT("mercancia!D"&amp;(INT((ROW()-2)/5)+2))</f>
        <v>900.123.456-1</v>
      </c>
      <c r="H92" s="21" t="str">
        <f>CHOOSE(MOD(18,3)+1,"CC-100 Bodega Central","CC-101 Sucursal Centro","CC-102 Sucursal Itagüí")</f>
        <v>CC-100 Bodega Central</v>
      </c>
      <c r="I92" s="21" t="str">
        <f ca="1">"Compra mercancía - "&amp;mercancia!E20&amp;" - "&amp;mercancia!A20</f>
        <v>Compra mercancía - Guantes de carnaza par - FE-1019</v>
      </c>
      <c r="J92" s="24">
        <f ca="1">mercancia!H20</f>
        <v>35062000</v>
      </c>
      <c r="K92" s="24">
        <f>0</f>
        <v>0</v>
      </c>
      <c r="L92" s="25" t="str">
        <f>mercancia!A20</f>
        <v>FE-1019</v>
      </c>
    </row>
    <row r="93" spans="1:12" x14ac:dyDescent="0.35">
      <c r="A93" s="20" t="str">
        <f>"CC-MC-"&amp;TEXT(1018,"0000")</f>
        <v>CC-MC-1018</v>
      </c>
      <c r="B93" s="21" t="str">
        <f>"Causación Compra"</f>
        <v>Causación Compra</v>
      </c>
      <c r="C93" s="22">
        <f ca="1">mercancia!B20</f>
        <v>46079</v>
      </c>
      <c r="D93" s="68" t="str">
        <f>"240805"</f>
        <v>240805</v>
      </c>
      <c r="E93" s="21" t="str">
        <f>"IVA descontable - 19%"</f>
        <v>IVA descontable - 19%</v>
      </c>
      <c r="F93" s="21" t="str">
        <f ca="1">mercancia!C20</f>
        <v>Aceros de la Montaña S.A.S.</v>
      </c>
      <c r="G93" s="23" t="str" cm="1">
        <f t="array" aca="1" ref="G93" ca="1">INDIRECT("mercancia!D"&amp;(INT((ROW()-2)/5)+2))</f>
        <v>900.123.456-1</v>
      </c>
      <c r="H93" s="21" t="str">
        <f>CHOOSE(MOD(18,3)+1,"CC-100 Bodega Central","CC-101 Sucursal Centro","CC-102 Sucursal Itagüí")</f>
        <v>CC-100 Bodega Central</v>
      </c>
      <c r="I93" s="21" t="str">
        <f>"IVA descontable factura "&amp;mercancia!A20</f>
        <v>IVA descontable factura FE-1019</v>
      </c>
      <c r="J93" s="24">
        <f ca="1">mercancia!I20</f>
        <v>6661780</v>
      </c>
      <c r="K93" s="24">
        <f>0</f>
        <v>0</v>
      </c>
      <c r="L93" s="25" t="str">
        <f>mercancia!A20</f>
        <v>FE-1019</v>
      </c>
    </row>
    <row r="94" spans="1:12" x14ac:dyDescent="0.35">
      <c r="A94" s="20" t="str">
        <f>"CC-MC-"&amp;TEXT(1018,"0000")</f>
        <v>CC-MC-1018</v>
      </c>
      <c r="B94" s="21" t="str">
        <f>"Causación Compra"</f>
        <v>Causación Compra</v>
      </c>
      <c r="C94" s="22">
        <f ca="1">mercancia!B20</f>
        <v>46079</v>
      </c>
      <c r="D94" s="68" t="str">
        <f>"236540"</f>
        <v>236540</v>
      </c>
      <c r="E94" s="21" t="str">
        <f>"Retención en la fuente - Compras"</f>
        <v>Retención en la fuente - Compras</v>
      </c>
      <c r="F94" s="21" t="str">
        <f ca="1">mercancia!C20</f>
        <v>Aceros de la Montaña S.A.S.</v>
      </c>
      <c r="G94" s="23" t="str" cm="1">
        <f t="array" aca="1" ref="G94" ca="1">INDIRECT("mercancia!D"&amp;(INT((ROW()-2)/5)+2))</f>
        <v>900.123.456-1</v>
      </c>
      <c r="H94" s="21" t="str">
        <f>CHOOSE(MOD(18,3)+1,"CC-100 Bodega Central","CC-101 Sucursal Centro","CC-102 Sucursal Itagüí")</f>
        <v>CC-100 Bodega Central</v>
      </c>
      <c r="I94" s="21" t="str">
        <f ca="1">"ReteFuente "&amp;TEXT(mercancia!K20,"0.0%")&amp;" sobre compra "&amp;mercancia!A20</f>
        <v>ReteFuente 04% sobre compra FE-1019</v>
      </c>
      <c r="J94" s="24">
        <f>0</f>
        <v>0</v>
      </c>
      <c r="K94" s="24">
        <f ca="1">mercancia!L20</f>
        <v>1227170</v>
      </c>
      <c r="L94" s="25" t="str">
        <f>mercancia!A20</f>
        <v>FE-1019</v>
      </c>
    </row>
    <row r="95" spans="1:12" x14ac:dyDescent="0.35">
      <c r="A95" s="20" t="str">
        <f>"CC-MC-"&amp;TEXT(1018,"0000")</f>
        <v>CC-MC-1018</v>
      </c>
      <c r="B95" s="21" t="str">
        <f>"Causación Compra"</f>
        <v>Causación Compra</v>
      </c>
      <c r="C95" s="22">
        <f ca="1">mercancia!B20</f>
        <v>46079</v>
      </c>
      <c r="D95" s="68" t="str">
        <f>"236805"</f>
        <v>236805</v>
      </c>
      <c r="E95" s="21" t="str">
        <f>"Retención ICA - Medellín 11.04‰"</f>
        <v>Retención ICA - Medellín 11.04‰</v>
      </c>
      <c r="F95" s="21" t="str">
        <f ca="1">mercancia!C20</f>
        <v>Aceros de la Montaña S.A.S.</v>
      </c>
      <c r="G95" s="23" t="str" cm="1">
        <f t="array" aca="1" ref="G95" ca="1">INDIRECT("mercancia!D"&amp;(INT((ROW()-2)/5)+2))</f>
        <v>900.123.456-1</v>
      </c>
      <c r="H95" s="21" t="str">
        <f>CHOOSE(MOD(18,3)+1,"CC-100 Bodega Central","CC-101 Sucursal Centro","CC-102 Sucursal Itagüí")</f>
        <v>CC-100 Bodega Central</v>
      </c>
      <c r="I95" s="21" t="str">
        <f>"ReteICA Medellín sobre compra "&amp;mercancia!A20</f>
        <v>ReteICA Medellín sobre compra FE-1019</v>
      </c>
      <c r="J95" s="24">
        <f>0</f>
        <v>0</v>
      </c>
      <c r="K95" s="24">
        <f ca="1">mercancia!N20</f>
        <v>387084</v>
      </c>
      <c r="L95" s="25" t="str">
        <f>mercancia!A20</f>
        <v>FE-1019</v>
      </c>
    </row>
    <row r="96" spans="1:12" x14ac:dyDescent="0.35">
      <c r="A96" s="20" t="str">
        <f>"CC-MC-"&amp;TEXT(1018,"0000")</f>
        <v>CC-MC-1018</v>
      </c>
      <c r="B96" s="21" t="str">
        <f>"Causación Compra"</f>
        <v>Causación Compra</v>
      </c>
      <c r="C96" s="22">
        <f ca="1">mercancia!B20</f>
        <v>46079</v>
      </c>
      <c r="D96" s="68" t="str">
        <f>"220505"</f>
        <v>220505</v>
      </c>
      <c r="E96" s="21" t="str">
        <f>"Proveedores nacionales"</f>
        <v>Proveedores nacionales</v>
      </c>
      <c r="F96" s="21" t="str">
        <f ca="1">mercancia!C20</f>
        <v>Aceros de la Montaña S.A.S.</v>
      </c>
      <c r="G96" s="23" t="str" cm="1">
        <f t="array" aca="1" ref="G96" ca="1">INDIRECT("mercancia!D"&amp;(INT((ROW()-2)/5)+2))</f>
        <v>900.123.456-1</v>
      </c>
      <c r="H96" s="21" t="str">
        <f>CHOOSE(MOD(18,3)+1,"CC-100 Bodega Central","CC-101 Sucursal Centro","CC-102 Sucursal Itagüí")</f>
        <v>CC-100 Bodega Central</v>
      </c>
      <c r="I96" s="21" t="str">
        <f>"Cuenta por pagar proveedor - "&amp;mercancia!A20</f>
        <v>Cuenta por pagar proveedor - FE-1019</v>
      </c>
      <c r="J96" s="24">
        <f>0</f>
        <v>0</v>
      </c>
      <c r="K96" s="24">
        <f ca="1">mercancia!O20</f>
        <v>40109526</v>
      </c>
      <c r="L96" s="25" t="str">
        <f>mercancia!A20</f>
        <v>FE-1019</v>
      </c>
    </row>
    <row r="97" spans="1:12" x14ac:dyDescent="0.35">
      <c r="A97" s="26" t="str">
        <f>"CC-MC-"&amp;TEXT(1019,"0000")</f>
        <v>CC-MC-1019</v>
      </c>
      <c r="B97" s="27" t="str">
        <f>"Causación Compra"</f>
        <v>Causación Compra</v>
      </c>
      <c r="C97" s="28">
        <f ca="1">mercancia!B21</f>
        <v>46040</v>
      </c>
      <c r="D97" s="69" t="str">
        <f>"143505"</f>
        <v>143505</v>
      </c>
      <c r="E97" s="27" t="str">
        <f>"Mercancías no fabricadas por la empresa"</f>
        <v>Mercancías no fabricadas por la empresa</v>
      </c>
      <c r="F97" s="27" t="str">
        <f ca="1">mercancia!C21</f>
        <v>Aceros de la Montaña S.A.S.</v>
      </c>
      <c r="G97" s="29" t="str" cm="1">
        <f t="array" aca="1" ref="G97" ca="1">INDIRECT("mercancia!D"&amp;(INT((ROW()-2)/5)+2))</f>
        <v>900.123.456-1</v>
      </c>
      <c r="H97" s="27" t="str">
        <f>CHOOSE(MOD(19,3)+1,"CC-100 Bodega Central","CC-101 Sucursal Centro","CC-102 Sucursal Itagüí")</f>
        <v>CC-101 Sucursal Centro</v>
      </c>
      <c r="I97" s="27" t="str">
        <f ca="1">"Compra mercancía - "&amp;mercancia!E21&amp;" - "&amp;mercancia!A21</f>
        <v>Compra mercancía - Cementos y Materiales Paisa S.A. - FE-1020</v>
      </c>
      <c r="J97" s="30">
        <f ca="1">mercancia!H21</f>
        <v>19347200</v>
      </c>
      <c r="K97" s="30">
        <f>0</f>
        <v>0</v>
      </c>
      <c r="L97" s="31" t="str">
        <f>mercancia!A21</f>
        <v>FE-1020</v>
      </c>
    </row>
    <row r="98" spans="1:12" x14ac:dyDescent="0.35">
      <c r="A98" s="26" t="str">
        <f>"CC-MC-"&amp;TEXT(1019,"0000")</f>
        <v>CC-MC-1019</v>
      </c>
      <c r="B98" s="27" t="str">
        <f>"Causación Compra"</f>
        <v>Causación Compra</v>
      </c>
      <c r="C98" s="28">
        <f ca="1">mercancia!B21</f>
        <v>46040</v>
      </c>
      <c r="D98" s="69" t="str">
        <f>"240805"</f>
        <v>240805</v>
      </c>
      <c r="E98" s="27" t="str">
        <f>"IVA descontable - 19%"</f>
        <v>IVA descontable - 19%</v>
      </c>
      <c r="F98" s="27" t="str">
        <f ca="1">mercancia!C21</f>
        <v>Aceros de la Montaña S.A.S.</v>
      </c>
      <c r="G98" s="29" t="str" cm="1">
        <f t="array" aca="1" ref="G98" ca="1">INDIRECT("mercancia!D"&amp;(INT((ROW()-2)/5)+2))</f>
        <v>900.123.456-1</v>
      </c>
      <c r="H98" s="27" t="str">
        <f>CHOOSE(MOD(19,3)+1,"CC-100 Bodega Central","CC-101 Sucursal Centro","CC-102 Sucursal Itagüí")</f>
        <v>CC-101 Sucursal Centro</v>
      </c>
      <c r="I98" s="27" t="str">
        <f>"IVA descontable factura "&amp;mercancia!A21</f>
        <v>IVA descontable factura FE-1020</v>
      </c>
      <c r="J98" s="30">
        <f ca="1">mercancia!I21</f>
        <v>3675968</v>
      </c>
      <c r="K98" s="30">
        <f>0</f>
        <v>0</v>
      </c>
      <c r="L98" s="31" t="str">
        <f>mercancia!A21</f>
        <v>FE-1020</v>
      </c>
    </row>
    <row r="99" spans="1:12" x14ac:dyDescent="0.35">
      <c r="A99" s="26" t="str">
        <f>"CC-MC-"&amp;TEXT(1019,"0000")</f>
        <v>CC-MC-1019</v>
      </c>
      <c r="B99" s="27" t="str">
        <f>"Causación Compra"</f>
        <v>Causación Compra</v>
      </c>
      <c r="C99" s="28">
        <f ca="1">mercancia!B21</f>
        <v>46040</v>
      </c>
      <c r="D99" s="69" t="str">
        <f>"236540"</f>
        <v>236540</v>
      </c>
      <c r="E99" s="27" t="str">
        <f>"Retención en la fuente - Compras"</f>
        <v>Retención en la fuente - Compras</v>
      </c>
      <c r="F99" s="27" t="str">
        <f ca="1">mercancia!C21</f>
        <v>Aceros de la Montaña S.A.S.</v>
      </c>
      <c r="G99" s="29" t="str" cm="1">
        <f t="array" aca="1" ref="G99" ca="1">INDIRECT("mercancia!D"&amp;(INT((ROW()-2)/5)+2))</f>
        <v>900.123.456-1</v>
      </c>
      <c r="H99" s="27" t="str">
        <f>CHOOSE(MOD(19,3)+1,"CC-100 Bodega Central","CC-101 Sucursal Centro","CC-102 Sucursal Itagüí")</f>
        <v>CC-101 Sucursal Centro</v>
      </c>
      <c r="I99" s="27" t="str">
        <f ca="1">"ReteFuente "&amp;TEXT(mercancia!K21,"0.0%")&amp;" sobre compra "&amp;mercancia!A21</f>
        <v>ReteFuente 04% sobre compra FE-1020</v>
      </c>
      <c r="J99" s="30">
        <f>0</f>
        <v>0</v>
      </c>
      <c r="K99" s="30">
        <f ca="1">mercancia!L21</f>
        <v>677152</v>
      </c>
      <c r="L99" s="31" t="str">
        <f>mercancia!A21</f>
        <v>FE-1020</v>
      </c>
    </row>
    <row r="100" spans="1:12" x14ac:dyDescent="0.35">
      <c r="A100" s="26" t="str">
        <f>"CC-MC-"&amp;TEXT(1019,"0000")</f>
        <v>CC-MC-1019</v>
      </c>
      <c r="B100" s="27" t="str">
        <f>"Causación Compra"</f>
        <v>Causación Compra</v>
      </c>
      <c r="C100" s="28">
        <f ca="1">mercancia!B21</f>
        <v>46040</v>
      </c>
      <c r="D100" s="69" t="str">
        <f>"236805"</f>
        <v>236805</v>
      </c>
      <c r="E100" s="27" t="str">
        <f>"Retención ICA - Medellín 11.04‰"</f>
        <v>Retención ICA - Medellín 11.04‰</v>
      </c>
      <c r="F100" s="27" t="str">
        <f ca="1">mercancia!C21</f>
        <v>Aceros de la Montaña S.A.S.</v>
      </c>
      <c r="G100" s="29" t="str" cm="1">
        <f t="array" aca="1" ref="G100" ca="1">INDIRECT("mercancia!D"&amp;(INT((ROW()-2)/5)+2))</f>
        <v>900.123.456-1</v>
      </c>
      <c r="H100" s="27" t="str">
        <f>CHOOSE(MOD(19,3)+1,"CC-100 Bodega Central","CC-101 Sucursal Centro","CC-102 Sucursal Itagüí")</f>
        <v>CC-101 Sucursal Centro</v>
      </c>
      <c r="I100" s="27" t="str">
        <f>"ReteICA Medellín sobre compra "&amp;mercancia!A21</f>
        <v>ReteICA Medellín sobre compra FE-1020</v>
      </c>
      <c r="J100" s="30">
        <f>0</f>
        <v>0</v>
      </c>
      <c r="K100" s="30">
        <f ca="1">mercancia!N21</f>
        <v>213593</v>
      </c>
      <c r="L100" s="31" t="str">
        <f>mercancia!A21</f>
        <v>FE-1020</v>
      </c>
    </row>
    <row r="101" spans="1:12" x14ac:dyDescent="0.35">
      <c r="A101" s="26" t="str">
        <f>"CC-MC-"&amp;TEXT(1019,"0000")</f>
        <v>CC-MC-1019</v>
      </c>
      <c r="B101" s="27" t="str">
        <f>"Causación Compra"</f>
        <v>Causación Compra</v>
      </c>
      <c r="C101" s="28">
        <f ca="1">mercancia!B21</f>
        <v>46040</v>
      </c>
      <c r="D101" s="69" t="str">
        <f>"220505"</f>
        <v>220505</v>
      </c>
      <c r="E101" s="27" t="str">
        <f>"Proveedores nacionales"</f>
        <v>Proveedores nacionales</v>
      </c>
      <c r="F101" s="27" t="str">
        <f ca="1">mercancia!C21</f>
        <v>Aceros de la Montaña S.A.S.</v>
      </c>
      <c r="G101" s="29" t="str" cm="1">
        <f t="array" aca="1" ref="G101" ca="1">INDIRECT("mercancia!D"&amp;(INT((ROW()-2)/5)+2))</f>
        <v>900.123.456-1</v>
      </c>
      <c r="H101" s="27" t="str">
        <f>CHOOSE(MOD(19,3)+1,"CC-100 Bodega Central","CC-101 Sucursal Centro","CC-102 Sucursal Itagüí")</f>
        <v>CC-101 Sucursal Centro</v>
      </c>
      <c r="I101" s="27" t="str">
        <f>"Cuenta por pagar proveedor - "&amp;mercancia!A21</f>
        <v>Cuenta por pagar proveedor - FE-1020</v>
      </c>
      <c r="J101" s="30">
        <f>0</f>
        <v>0</v>
      </c>
      <c r="K101" s="30">
        <f ca="1">mercancia!O21</f>
        <v>22132423</v>
      </c>
      <c r="L101" s="31" t="str">
        <f>mercancia!A21</f>
        <v>FE-1020</v>
      </c>
    </row>
    <row r="102" spans="1:12" x14ac:dyDescent="0.35">
      <c r="A102" s="20" t="str">
        <f>"CC-MC-"&amp;TEXT(1020,"0000")</f>
        <v>CC-MC-1020</v>
      </c>
      <c r="B102" s="21" t="str">
        <f>"Causación Compra"</f>
        <v>Causación Compra</v>
      </c>
      <c r="C102" s="22">
        <f ca="1">mercancia!B22</f>
        <v>46086</v>
      </c>
      <c r="D102" s="68" t="str">
        <f>"143505"</f>
        <v>143505</v>
      </c>
      <c r="E102" s="21" t="str">
        <f>"Mercancías no fabricadas por la empresa"</f>
        <v>Mercancías no fabricadas por la empresa</v>
      </c>
      <c r="F102" s="21" t="str">
        <f ca="1">mercancia!C22</f>
        <v>Cementos y Materiales Paisa S.A.</v>
      </c>
      <c r="G102" s="23" t="str" cm="1">
        <f t="array" aca="1" ref="G102" ca="1">INDIRECT("mercancia!D"&amp;(INT((ROW()-2)/5)+2))</f>
        <v>900.456.789-4</v>
      </c>
      <c r="H102" s="21" t="str">
        <f>CHOOSE(MOD(20,3)+1,"CC-100 Bodega Central","CC-101 Sucursal Centro","CC-102 Sucursal Itagüí")</f>
        <v>CC-102 Sucursal Itagüí</v>
      </c>
      <c r="I102" s="21" t="str">
        <f ca="1">"Compra mercancía - "&amp;mercancia!E22&amp;" - "&amp;mercancia!A22</f>
        <v>Compra mercancía - Pinturas y Acabados Aburrá S.A.S. - FE-1021</v>
      </c>
      <c r="J102" s="24">
        <f ca="1">mercancia!H22</f>
        <v>9030600</v>
      </c>
      <c r="K102" s="24">
        <f>0</f>
        <v>0</v>
      </c>
      <c r="L102" s="25" t="str">
        <f>mercancia!A22</f>
        <v>FE-1021</v>
      </c>
    </row>
    <row r="103" spans="1:12" x14ac:dyDescent="0.35">
      <c r="A103" s="20" t="str">
        <f>"CC-MC-"&amp;TEXT(1020,"0000")</f>
        <v>CC-MC-1020</v>
      </c>
      <c r="B103" s="21" t="str">
        <f>"Causación Compra"</f>
        <v>Causación Compra</v>
      </c>
      <c r="C103" s="22">
        <f ca="1">mercancia!B22</f>
        <v>46086</v>
      </c>
      <c r="D103" s="68" t="str">
        <f>"240805"</f>
        <v>240805</v>
      </c>
      <c r="E103" s="21" t="str">
        <f>"IVA descontable - 19%"</f>
        <v>IVA descontable - 19%</v>
      </c>
      <c r="F103" s="21" t="str">
        <f ca="1">mercancia!C22</f>
        <v>Cementos y Materiales Paisa S.A.</v>
      </c>
      <c r="G103" s="23" t="str" cm="1">
        <f t="array" aca="1" ref="G103" ca="1">INDIRECT("mercancia!D"&amp;(INT((ROW()-2)/5)+2))</f>
        <v>900.456.789-4</v>
      </c>
      <c r="H103" s="21" t="str">
        <f>CHOOSE(MOD(20,3)+1,"CC-100 Bodega Central","CC-101 Sucursal Centro","CC-102 Sucursal Itagüí")</f>
        <v>CC-102 Sucursal Itagüí</v>
      </c>
      <c r="I103" s="21" t="str">
        <f>"IVA descontable factura "&amp;mercancia!A22</f>
        <v>IVA descontable factura FE-1021</v>
      </c>
      <c r="J103" s="24">
        <f ca="1">mercancia!I22</f>
        <v>1715814</v>
      </c>
      <c r="K103" s="24">
        <f>0</f>
        <v>0</v>
      </c>
      <c r="L103" s="25" t="str">
        <f>mercancia!A22</f>
        <v>FE-1021</v>
      </c>
    </row>
    <row r="104" spans="1:12" x14ac:dyDescent="0.35">
      <c r="A104" s="20" t="str">
        <f>"CC-MC-"&amp;TEXT(1020,"0000")</f>
        <v>CC-MC-1020</v>
      </c>
      <c r="B104" s="21" t="str">
        <f>"Causación Compra"</f>
        <v>Causación Compra</v>
      </c>
      <c r="C104" s="22">
        <f ca="1">mercancia!B22</f>
        <v>46086</v>
      </c>
      <c r="D104" s="68" t="str">
        <f>"236540"</f>
        <v>236540</v>
      </c>
      <c r="E104" s="21" t="str">
        <f>"Retención en la fuente - Compras"</f>
        <v>Retención en la fuente - Compras</v>
      </c>
      <c r="F104" s="21" t="str">
        <f ca="1">mercancia!C22</f>
        <v>Cementos y Materiales Paisa S.A.</v>
      </c>
      <c r="G104" s="23" t="str" cm="1">
        <f t="array" aca="1" ref="G104" ca="1">INDIRECT("mercancia!D"&amp;(INT((ROW()-2)/5)+2))</f>
        <v>900.456.789-4</v>
      </c>
      <c r="H104" s="21" t="str">
        <f>CHOOSE(MOD(20,3)+1,"CC-100 Bodega Central","CC-101 Sucursal Centro","CC-102 Sucursal Itagüí")</f>
        <v>CC-102 Sucursal Itagüí</v>
      </c>
      <c r="I104" s="21" t="str">
        <f ca="1">"ReteFuente "&amp;TEXT(mercancia!K22,"0.0%")&amp;" sobre compra "&amp;mercancia!A22</f>
        <v>ReteFuente 03% sobre compra FE-1021</v>
      </c>
      <c r="J104" s="24">
        <f>0</f>
        <v>0</v>
      </c>
      <c r="K104" s="24">
        <f ca="1">mercancia!L22</f>
        <v>225765</v>
      </c>
      <c r="L104" s="25" t="str">
        <f>mercancia!A22</f>
        <v>FE-1021</v>
      </c>
    </row>
    <row r="105" spans="1:12" x14ac:dyDescent="0.35">
      <c r="A105" s="20" t="str">
        <f>"CC-MC-"&amp;TEXT(1020,"0000")</f>
        <v>CC-MC-1020</v>
      </c>
      <c r="B105" s="21" t="str">
        <f>"Causación Compra"</f>
        <v>Causación Compra</v>
      </c>
      <c r="C105" s="22">
        <f ca="1">mercancia!B22</f>
        <v>46086</v>
      </c>
      <c r="D105" s="68" t="str">
        <f>"236805"</f>
        <v>236805</v>
      </c>
      <c r="E105" s="21" t="str">
        <f>"Retención ICA - Medellín 11.04‰"</f>
        <v>Retención ICA - Medellín 11.04‰</v>
      </c>
      <c r="F105" s="21" t="str">
        <f ca="1">mercancia!C22</f>
        <v>Cementos y Materiales Paisa S.A.</v>
      </c>
      <c r="G105" s="23" t="str" cm="1">
        <f t="array" aca="1" ref="G105" ca="1">INDIRECT("mercancia!D"&amp;(INT((ROW()-2)/5)+2))</f>
        <v>900.456.789-4</v>
      </c>
      <c r="H105" s="21" t="str">
        <f>CHOOSE(MOD(20,3)+1,"CC-100 Bodega Central","CC-101 Sucursal Centro","CC-102 Sucursal Itagüí")</f>
        <v>CC-102 Sucursal Itagüí</v>
      </c>
      <c r="I105" s="21" t="str">
        <f>"ReteICA Medellín sobre compra "&amp;mercancia!A22</f>
        <v>ReteICA Medellín sobre compra FE-1021</v>
      </c>
      <c r="J105" s="24">
        <f>0</f>
        <v>0</v>
      </c>
      <c r="K105" s="24">
        <f ca="1">mercancia!N22</f>
        <v>99698</v>
      </c>
      <c r="L105" s="25" t="str">
        <f>mercancia!A22</f>
        <v>FE-1021</v>
      </c>
    </row>
    <row r="106" spans="1:12" x14ac:dyDescent="0.35">
      <c r="A106" s="20" t="str">
        <f>"CC-MC-"&amp;TEXT(1020,"0000")</f>
        <v>CC-MC-1020</v>
      </c>
      <c r="B106" s="21" t="str">
        <f>"Causación Compra"</f>
        <v>Causación Compra</v>
      </c>
      <c r="C106" s="22">
        <f ca="1">mercancia!B22</f>
        <v>46086</v>
      </c>
      <c r="D106" s="68" t="str">
        <f>"220505"</f>
        <v>220505</v>
      </c>
      <c r="E106" s="21" t="str">
        <f>"Proveedores nacionales"</f>
        <v>Proveedores nacionales</v>
      </c>
      <c r="F106" s="21" t="str">
        <f ca="1">mercancia!C22</f>
        <v>Cementos y Materiales Paisa S.A.</v>
      </c>
      <c r="G106" s="23" t="str" cm="1">
        <f t="array" aca="1" ref="G106" ca="1">INDIRECT("mercancia!D"&amp;(INT((ROW()-2)/5)+2))</f>
        <v>900.456.789-4</v>
      </c>
      <c r="H106" s="21" t="str">
        <f>CHOOSE(MOD(20,3)+1,"CC-100 Bodega Central","CC-101 Sucursal Centro","CC-102 Sucursal Itagüí")</f>
        <v>CC-102 Sucursal Itagüí</v>
      </c>
      <c r="I106" s="21" t="str">
        <f>"Cuenta por pagar proveedor - "&amp;mercancia!A22</f>
        <v>Cuenta por pagar proveedor - FE-1021</v>
      </c>
      <c r="J106" s="24">
        <f>0</f>
        <v>0</v>
      </c>
      <c r="K106" s="24">
        <f ca="1">mercancia!O22</f>
        <v>10420951</v>
      </c>
      <c r="L106" s="25" t="str">
        <f>mercancia!A22</f>
        <v>FE-1021</v>
      </c>
    </row>
    <row r="107" spans="1:12" x14ac:dyDescent="0.35">
      <c r="A107" s="26" t="str">
        <f>"CC-MC-"&amp;TEXT(1021,"0000")</f>
        <v>CC-MC-1021</v>
      </c>
      <c r="B107" s="27" t="str">
        <f>"Causación Compra"</f>
        <v>Causación Compra</v>
      </c>
      <c r="C107" s="28">
        <f ca="1">mercancia!B23</f>
        <v>46137</v>
      </c>
      <c r="D107" s="69" t="str">
        <f>"143505"</f>
        <v>143505</v>
      </c>
      <c r="E107" s="27" t="str">
        <f>"Mercancías no fabricadas por la empresa"</f>
        <v>Mercancías no fabricadas por la empresa</v>
      </c>
      <c r="F107" s="27" t="str">
        <f ca="1">mercancia!C23</f>
        <v>Acabados y Construcción Poblado S.A.S.</v>
      </c>
      <c r="G107" s="29" t="str" cm="1">
        <f t="array" aca="1" ref="G107" ca="1">INDIRECT("mercancia!D"&amp;(INT((ROW()-2)/5)+2))</f>
        <v>901.567.890-5</v>
      </c>
      <c r="H107" s="27" t="str">
        <f>CHOOSE(MOD(21,3)+1,"CC-100 Bodega Central","CC-101 Sucursal Centro","CC-102 Sucursal Itagüí")</f>
        <v>CC-100 Bodega Central</v>
      </c>
      <c r="I107" s="27" t="str">
        <f ca="1">"Compra mercancía - "&amp;mercancia!E23&amp;" - "&amp;mercancia!A23</f>
        <v>Compra mercancía - Materiales La Estrella S.A.S. - FE-1022</v>
      </c>
      <c r="J107" s="30">
        <f ca="1">mercancia!H23</f>
        <v>7388800</v>
      </c>
      <c r="K107" s="30">
        <f>0</f>
        <v>0</v>
      </c>
      <c r="L107" s="31" t="str">
        <f>mercancia!A23</f>
        <v>FE-1022</v>
      </c>
    </row>
    <row r="108" spans="1:12" x14ac:dyDescent="0.35">
      <c r="A108" s="26" t="str">
        <f>"CC-MC-"&amp;TEXT(1021,"0000")</f>
        <v>CC-MC-1021</v>
      </c>
      <c r="B108" s="27" t="str">
        <f>"Causación Compra"</f>
        <v>Causación Compra</v>
      </c>
      <c r="C108" s="28">
        <f ca="1">mercancia!B23</f>
        <v>46137</v>
      </c>
      <c r="D108" s="69" t="str">
        <f>"240805"</f>
        <v>240805</v>
      </c>
      <c r="E108" s="27" t="str">
        <f>"IVA descontable - 19%"</f>
        <v>IVA descontable - 19%</v>
      </c>
      <c r="F108" s="27" t="str">
        <f ca="1">mercancia!C23</f>
        <v>Acabados y Construcción Poblado S.A.S.</v>
      </c>
      <c r="G108" s="29" t="str" cm="1">
        <f t="array" aca="1" ref="G108" ca="1">INDIRECT("mercancia!D"&amp;(INT((ROW()-2)/5)+2))</f>
        <v>901.567.890-5</v>
      </c>
      <c r="H108" s="27" t="str">
        <f>CHOOSE(MOD(21,3)+1,"CC-100 Bodega Central","CC-101 Sucursal Centro","CC-102 Sucursal Itagüí")</f>
        <v>CC-100 Bodega Central</v>
      </c>
      <c r="I108" s="27" t="str">
        <f>"IVA descontable factura "&amp;mercancia!A23</f>
        <v>IVA descontable factura FE-1022</v>
      </c>
      <c r="J108" s="30">
        <f ca="1">mercancia!I23</f>
        <v>1403872</v>
      </c>
      <c r="K108" s="30">
        <f>0</f>
        <v>0</v>
      </c>
      <c r="L108" s="31" t="str">
        <f>mercancia!A23</f>
        <v>FE-1022</v>
      </c>
    </row>
    <row r="109" spans="1:12" x14ac:dyDescent="0.35">
      <c r="A109" s="26" t="str">
        <f>"CC-MC-"&amp;TEXT(1021,"0000")</f>
        <v>CC-MC-1021</v>
      </c>
      <c r="B109" s="27" t="str">
        <f>"Causación Compra"</f>
        <v>Causación Compra</v>
      </c>
      <c r="C109" s="28">
        <f ca="1">mercancia!B23</f>
        <v>46137</v>
      </c>
      <c r="D109" s="69" t="str">
        <f>"236540"</f>
        <v>236540</v>
      </c>
      <c r="E109" s="27" t="str">
        <f>"Retención en la fuente - Compras"</f>
        <v>Retención en la fuente - Compras</v>
      </c>
      <c r="F109" s="27" t="str">
        <f ca="1">mercancia!C23</f>
        <v>Acabados y Construcción Poblado S.A.S.</v>
      </c>
      <c r="G109" s="29" t="str" cm="1">
        <f t="array" aca="1" ref="G109" ca="1">INDIRECT("mercancia!D"&amp;(INT((ROW()-2)/5)+2))</f>
        <v>901.567.890-5</v>
      </c>
      <c r="H109" s="27" t="str">
        <f>CHOOSE(MOD(21,3)+1,"CC-100 Bodega Central","CC-101 Sucursal Centro","CC-102 Sucursal Itagüí")</f>
        <v>CC-100 Bodega Central</v>
      </c>
      <c r="I109" s="27" t="str">
        <f ca="1">"ReteFuente "&amp;TEXT(mercancia!K23,"0.0%")&amp;" sobre compra "&amp;mercancia!A23</f>
        <v>ReteFuente 04% sobre compra FE-1022</v>
      </c>
      <c r="J109" s="30">
        <f>0</f>
        <v>0</v>
      </c>
      <c r="K109" s="30">
        <f ca="1">mercancia!L23</f>
        <v>258608</v>
      </c>
      <c r="L109" s="31" t="str">
        <f>mercancia!A23</f>
        <v>FE-1022</v>
      </c>
    </row>
    <row r="110" spans="1:12" x14ac:dyDescent="0.35">
      <c r="A110" s="26" t="str">
        <f>"CC-MC-"&amp;TEXT(1021,"0000")</f>
        <v>CC-MC-1021</v>
      </c>
      <c r="B110" s="27" t="str">
        <f>"Causación Compra"</f>
        <v>Causación Compra</v>
      </c>
      <c r="C110" s="28">
        <f ca="1">mercancia!B23</f>
        <v>46137</v>
      </c>
      <c r="D110" s="69" t="str">
        <f>"236805"</f>
        <v>236805</v>
      </c>
      <c r="E110" s="27" t="str">
        <f>"Retención ICA - Medellín 11.04‰"</f>
        <v>Retención ICA - Medellín 11.04‰</v>
      </c>
      <c r="F110" s="27" t="str">
        <f ca="1">mercancia!C23</f>
        <v>Acabados y Construcción Poblado S.A.S.</v>
      </c>
      <c r="G110" s="29" t="str" cm="1">
        <f t="array" aca="1" ref="G110" ca="1">INDIRECT("mercancia!D"&amp;(INT((ROW()-2)/5)+2))</f>
        <v>901.567.890-5</v>
      </c>
      <c r="H110" s="27" t="str">
        <f>CHOOSE(MOD(21,3)+1,"CC-100 Bodega Central","CC-101 Sucursal Centro","CC-102 Sucursal Itagüí")</f>
        <v>CC-100 Bodega Central</v>
      </c>
      <c r="I110" s="27" t="str">
        <f>"ReteICA Medellín sobre compra "&amp;mercancia!A23</f>
        <v>ReteICA Medellín sobre compra FE-1022</v>
      </c>
      <c r="J110" s="30">
        <f>0</f>
        <v>0</v>
      </c>
      <c r="K110" s="30">
        <f ca="1">mercancia!N23</f>
        <v>81572</v>
      </c>
      <c r="L110" s="31" t="str">
        <f>mercancia!A23</f>
        <v>FE-1022</v>
      </c>
    </row>
    <row r="111" spans="1:12" x14ac:dyDescent="0.35">
      <c r="A111" s="26" t="str">
        <f>"CC-MC-"&amp;TEXT(1021,"0000")</f>
        <v>CC-MC-1021</v>
      </c>
      <c r="B111" s="27" t="str">
        <f>"Causación Compra"</f>
        <v>Causación Compra</v>
      </c>
      <c r="C111" s="28">
        <f ca="1">mercancia!B23</f>
        <v>46137</v>
      </c>
      <c r="D111" s="69" t="str">
        <f>"220505"</f>
        <v>220505</v>
      </c>
      <c r="E111" s="27" t="str">
        <f>"Proveedores nacionales"</f>
        <v>Proveedores nacionales</v>
      </c>
      <c r="F111" s="27" t="str">
        <f ca="1">mercancia!C23</f>
        <v>Acabados y Construcción Poblado S.A.S.</v>
      </c>
      <c r="G111" s="29" t="str" cm="1">
        <f t="array" aca="1" ref="G111" ca="1">INDIRECT("mercancia!D"&amp;(INT((ROW()-2)/5)+2))</f>
        <v>901.567.890-5</v>
      </c>
      <c r="H111" s="27" t="str">
        <f>CHOOSE(MOD(21,3)+1,"CC-100 Bodega Central","CC-101 Sucursal Centro","CC-102 Sucursal Itagüí")</f>
        <v>CC-100 Bodega Central</v>
      </c>
      <c r="I111" s="27" t="str">
        <f>"Cuenta por pagar proveedor - "&amp;mercancia!A23</f>
        <v>Cuenta por pagar proveedor - FE-1022</v>
      </c>
      <c r="J111" s="30">
        <f>0</f>
        <v>0</v>
      </c>
      <c r="K111" s="30">
        <f ca="1">mercancia!O23</f>
        <v>8452492</v>
      </c>
      <c r="L111" s="31" t="str">
        <f>mercancia!A23</f>
        <v>FE-1022</v>
      </c>
    </row>
    <row r="112" spans="1:12" x14ac:dyDescent="0.35">
      <c r="A112" s="20" t="str">
        <f>"CC-MC-"&amp;TEXT(1022,"0000")</f>
        <v>CC-MC-1022</v>
      </c>
      <c r="B112" s="21" t="str">
        <f>"Causación Compra"</f>
        <v>Causación Compra</v>
      </c>
      <c r="C112" s="22">
        <f ca="1">mercancia!B24</f>
        <v>46098</v>
      </c>
      <c r="D112" s="68" t="str">
        <f>"143505"</f>
        <v>143505</v>
      </c>
      <c r="E112" s="21" t="str">
        <f>"Mercancías no fabricadas por la empresa"</f>
        <v>Mercancías no fabricadas por la empresa</v>
      </c>
      <c r="F112" s="21" t="str">
        <f ca="1">mercancia!C24</f>
        <v>Ferromax Colombia S.A.S.</v>
      </c>
      <c r="G112" s="23" t="str" cm="1">
        <f t="array" aca="1" ref="G112" ca="1">INDIRECT("mercancia!D"&amp;(INT((ROW()-2)/5)+2))</f>
        <v>901.234.567-2</v>
      </c>
      <c r="H112" s="21" t="str">
        <f>CHOOSE(MOD(22,3)+1,"CC-100 Bodega Central","CC-101 Sucursal Centro","CC-102 Sucursal Itagüí")</f>
        <v>CC-101 Sucursal Centro</v>
      </c>
      <c r="I112" s="21" t="str">
        <f ca="1">"Compra mercancía - "&amp;mercancia!E24&amp;" - "&amp;mercancia!A24</f>
        <v>Compra mercancía - Cemento blanco x 5 kg - FE-1023</v>
      </c>
      <c r="J112" s="24">
        <f ca="1">mercancia!H24</f>
        <v>15567200</v>
      </c>
      <c r="K112" s="24">
        <f>0</f>
        <v>0</v>
      </c>
      <c r="L112" s="25" t="str">
        <f>mercancia!A24</f>
        <v>FE-1023</v>
      </c>
    </row>
    <row r="113" spans="1:12" x14ac:dyDescent="0.35">
      <c r="A113" s="20" t="str">
        <f>"CC-MC-"&amp;TEXT(1022,"0000")</f>
        <v>CC-MC-1022</v>
      </c>
      <c r="B113" s="21" t="str">
        <f>"Causación Compra"</f>
        <v>Causación Compra</v>
      </c>
      <c r="C113" s="22">
        <f ca="1">mercancia!B24</f>
        <v>46098</v>
      </c>
      <c r="D113" s="68" t="str">
        <f>"240805"</f>
        <v>240805</v>
      </c>
      <c r="E113" s="21" t="str">
        <f>"IVA descontable - 19%"</f>
        <v>IVA descontable - 19%</v>
      </c>
      <c r="F113" s="21" t="str">
        <f ca="1">mercancia!C24</f>
        <v>Ferromax Colombia S.A.S.</v>
      </c>
      <c r="G113" s="23" t="str" cm="1">
        <f t="array" aca="1" ref="G113" ca="1">INDIRECT("mercancia!D"&amp;(INT((ROW()-2)/5)+2))</f>
        <v>901.234.567-2</v>
      </c>
      <c r="H113" s="21" t="str">
        <f>CHOOSE(MOD(22,3)+1,"CC-100 Bodega Central","CC-101 Sucursal Centro","CC-102 Sucursal Itagüí")</f>
        <v>CC-101 Sucursal Centro</v>
      </c>
      <c r="I113" s="21" t="str">
        <f>"IVA descontable factura "&amp;mercancia!A24</f>
        <v>IVA descontable factura FE-1023</v>
      </c>
      <c r="J113" s="24">
        <f ca="1">mercancia!I24</f>
        <v>2957768</v>
      </c>
      <c r="K113" s="24">
        <f>0</f>
        <v>0</v>
      </c>
      <c r="L113" s="25" t="str">
        <f>mercancia!A24</f>
        <v>FE-1023</v>
      </c>
    </row>
    <row r="114" spans="1:12" x14ac:dyDescent="0.35">
      <c r="A114" s="20" t="str">
        <f>"CC-MC-"&amp;TEXT(1022,"0000")</f>
        <v>CC-MC-1022</v>
      </c>
      <c r="B114" s="21" t="str">
        <f>"Causación Compra"</f>
        <v>Causación Compra</v>
      </c>
      <c r="C114" s="22">
        <f ca="1">mercancia!B24</f>
        <v>46098</v>
      </c>
      <c r="D114" s="68" t="str">
        <f>"236540"</f>
        <v>236540</v>
      </c>
      <c r="E114" s="21" t="str">
        <f>"Retención en la fuente - Compras"</f>
        <v>Retención en la fuente - Compras</v>
      </c>
      <c r="F114" s="21" t="str">
        <f ca="1">mercancia!C24</f>
        <v>Ferromax Colombia S.A.S.</v>
      </c>
      <c r="G114" s="23" t="str" cm="1">
        <f t="array" aca="1" ref="G114" ca="1">INDIRECT("mercancia!D"&amp;(INT((ROW()-2)/5)+2))</f>
        <v>901.234.567-2</v>
      </c>
      <c r="H114" s="21" t="str">
        <f>CHOOSE(MOD(22,3)+1,"CC-100 Bodega Central","CC-101 Sucursal Centro","CC-102 Sucursal Itagüí")</f>
        <v>CC-101 Sucursal Centro</v>
      </c>
      <c r="I114" s="21" t="str">
        <f ca="1">"ReteFuente "&amp;TEXT(mercancia!K24,"0.0%")&amp;" sobre compra "&amp;mercancia!A24</f>
        <v>ReteFuente 03% sobre compra FE-1023</v>
      </c>
      <c r="J114" s="24">
        <f>0</f>
        <v>0</v>
      </c>
      <c r="K114" s="24">
        <f ca="1">mercancia!L24</f>
        <v>389180</v>
      </c>
      <c r="L114" s="25" t="str">
        <f>mercancia!A24</f>
        <v>FE-1023</v>
      </c>
    </row>
    <row r="115" spans="1:12" x14ac:dyDescent="0.35">
      <c r="A115" s="20" t="str">
        <f>"CC-MC-"&amp;TEXT(1022,"0000")</f>
        <v>CC-MC-1022</v>
      </c>
      <c r="B115" s="21" t="str">
        <f>"Causación Compra"</f>
        <v>Causación Compra</v>
      </c>
      <c r="C115" s="22">
        <f ca="1">mercancia!B24</f>
        <v>46098</v>
      </c>
      <c r="D115" s="68" t="str">
        <f>"236805"</f>
        <v>236805</v>
      </c>
      <c r="E115" s="21" t="str">
        <f>"Retención ICA - Medellín 11.04‰"</f>
        <v>Retención ICA - Medellín 11.04‰</v>
      </c>
      <c r="F115" s="21" t="str">
        <f ca="1">mercancia!C24</f>
        <v>Ferromax Colombia S.A.S.</v>
      </c>
      <c r="G115" s="23" t="str" cm="1">
        <f t="array" aca="1" ref="G115" ca="1">INDIRECT("mercancia!D"&amp;(INT((ROW()-2)/5)+2))</f>
        <v>901.234.567-2</v>
      </c>
      <c r="H115" s="21" t="str">
        <f>CHOOSE(MOD(22,3)+1,"CC-100 Bodega Central","CC-101 Sucursal Centro","CC-102 Sucursal Itagüí")</f>
        <v>CC-101 Sucursal Centro</v>
      </c>
      <c r="I115" s="21" t="str">
        <f>"ReteICA Medellín sobre compra "&amp;mercancia!A24</f>
        <v>ReteICA Medellín sobre compra FE-1023</v>
      </c>
      <c r="J115" s="24">
        <f>0</f>
        <v>0</v>
      </c>
      <c r="K115" s="24">
        <f ca="1">mercancia!N24</f>
        <v>171862</v>
      </c>
      <c r="L115" s="25" t="str">
        <f>mercancia!A24</f>
        <v>FE-1023</v>
      </c>
    </row>
    <row r="116" spans="1:12" x14ac:dyDescent="0.35">
      <c r="A116" s="20" t="str">
        <f>"CC-MC-"&amp;TEXT(1022,"0000")</f>
        <v>CC-MC-1022</v>
      </c>
      <c r="B116" s="21" t="str">
        <f>"Causación Compra"</f>
        <v>Causación Compra</v>
      </c>
      <c r="C116" s="22">
        <f ca="1">mercancia!B24</f>
        <v>46098</v>
      </c>
      <c r="D116" s="68" t="str">
        <f>"220505"</f>
        <v>220505</v>
      </c>
      <c r="E116" s="21" t="str">
        <f>"Proveedores nacionales"</f>
        <v>Proveedores nacionales</v>
      </c>
      <c r="F116" s="21" t="str">
        <f ca="1">mercancia!C24</f>
        <v>Ferromax Colombia S.A.S.</v>
      </c>
      <c r="G116" s="23" t="str" cm="1">
        <f t="array" aca="1" ref="G116" ca="1">INDIRECT("mercancia!D"&amp;(INT((ROW()-2)/5)+2))</f>
        <v>901.234.567-2</v>
      </c>
      <c r="H116" s="21" t="str">
        <f>CHOOSE(MOD(22,3)+1,"CC-100 Bodega Central","CC-101 Sucursal Centro","CC-102 Sucursal Itagüí")</f>
        <v>CC-101 Sucursal Centro</v>
      </c>
      <c r="I116" s="21" t="str">
        <f>"Cuenta por pagar proveedor - "&amp;mercancia!A24</f>
        <v>Cuenta por pagar proveedor - FE-1023</v>
      </c>
      <c r="J116" s="24">
        <f>0</f>
        <v>0</v>
      </c>
      <c r="K116" s="24">
        <f ca="1">mercancia!O24</f>
        <v>17963926</v>
      </c>
      <c r="L116" s="25" t="str">
        <f>mercancia!A24</f>
        <v>FE-1023</v>
      </c>
    </row>
    <row r="117" spans="1:12" x14ac:dyDescent="0.35">
      <c r="A117" s="26" t="str">
        <f>"CC-MC-"&amp;TEXT(1023,"0000")</f>
        <v>CC-MC-1023</v>
      </c>
      <c r="B117" s="27" t="str">
        <f>"Causación Compra"</f>
        <v>Causación Compra</v>
      </c>
      <c r="C117" s="28">
        <f ca="1">mercancia!B25</f>
        <v>46051</v>
      </c>
      <c r="D117" s="69" t="str">
        <f>"143505"</f>
        <v>143505</v>
      </c>
      <c r="E117" s="27" t="str">
        <f>"Mercancías no fabricadas por la empresa"</f>
        <v>Mercancías no fabricadas por la empresa</v>
      </c>
      <c r="F117" s="27" t="str">
        <f ca="1">mercancia!C25</f>
        <v>Tornillería Nacional del Valle de Aburrá</v>
      </c>
      <c r="G117" s="29" t="str" cm="1">
        <f t="array" aca="1" ref="G117" ca="1">INDIRECT("mercancia!D"&amp;(INT((ROW()-2)/5)+2))</f>
        <v>900.890.123-8</v>
      </c>
      <c r="H117" s="27" t="str">
        <f>CHOOSE(MOD(23,3)+1,"CC-100 Bodega Central","CC-101 Sucursal Centro","CC-102 Sucursal Itagüí")</f>
        <v>CC-102 Sucursal Itagüí</v>
      </c>
      <c r="I117" s="27" t="str">
        <f ca="1">"Compra mercancía - "&amp;mercancia!E25&amp;" - "&amp;mercancia!A25</f>
        <v>Compra mercancía - Esmeril angular 4-1/2" 850W - FE-1024</v>
      </c>
      <c r="J117" s="30">
        <f ca="1">mercancia!H25</f>
        <v>2992000</v>
      </c>
      <c r="K117" s="30">
        <f>0</f>
        <v>0</v>
      </c>
      <c r="L117" s="31" t="str">
        <f>mercancia!A25</f>
        <v>FE-1024</v>
      </c>
    </row>
    <row r="118" spans="1:12" x14ac:dyDescent="0.35">
      <c r="A118" s="26" t="str">
        <f>"CC-MC-"&amp;TEXT(1023,"0000")</f>
        <v>CC-MC-1023</v>
      </c>
      <c r="B118" s="27" t="str">
        <f>"Causación Compra"</f>
        <v>Causación Compra</v>
      </c>
      <c r="C118" s="28">
        <f ca="1">mercancia!B25</f>
        <v>46051</v>
      </c>
      <c r="D118" s="69" t="str">
        <f>"240805"</f>
        <v>240805</v>
      </c>
      <c r="E118" s="27" t="str">
        <f>"IVA descontable - 19%"</f>
        <v>IVA descontable - 19%</v>
      </c>
      <c r="F118" s="27" t="str">
        <f ca="1">mercancia!C25</f>
        <v>Tornillería Nacional del Valle de Aburrá</v>
      </c>
      <c r="G118" s="29" t="str" cm="1">
        <f t="array" aca="1" ref="G118" ca="1">INDIRECT("mercancia!D"&amp;(INT((ROW()-2)/5)+2))</f>
        <v>900.890.123-8</v>
      </c>
      <c r="H118" s="27" t="str">
        <f>CHOOSE(MOD(23,3)+1,"CC-100 Bodega Central","CC-101 Sucursal Centro","CC-102 Sucursal Itagüí")</f>
        <v>CC-102 Sucursal Itagüí</v>
      </c>
      <c r="I118" s="27" t="str">
        <f>"IVA descontable factura "&amp;mercancia!A25</f>
        <v>IVA descontable factura FE-1024</v>
      </c>
      <c r="J118" s="30">
        <f ca="1">mercancia!I25</f>
        <v>568480</v>
      </c>
      <c r="K118" s="30">
        <f>0</f>
        <v>0</v>
      </c>
      <c r="L118" s="31" t="str">
        <f>mercancia!A25</f>
        <v>FE-1024</v>
      </c>
    </row>
    <row r="119" spans="1:12" x14ac:dyDescent="0.35">
      <c r="A119" s="26" t="str">
        <f>"CC-MC-"&amp;TEXT(1023,"0000")</f>
        <v>CC-MC-1023</v>
      </c>
      <c r="B119" s="27" t="str">
        <f>"Causación Compra"</f>
        <v>Causación Compra</v>
      </c>
      <c r="C119" s="28">
        <f ca="1">mercancia!B25</f>
        <v>46051</v>
      </c>
      <c r="D119" s="69" t="str">
        <f>"236540"</f>
        <v>236540</v>
      </c>
      <c r="E119" s="27" t="str">
        <f>"Retención en la fuente - Compras"</f>
        <v>Retención en la fuente - Compras</v>
      </c>
      <c r="F119" s="27" t="str">
        <f ca="1">mercancia!C25</f>
        <v>Tornillería Nacional del Valle de Aburrá</v>
      </c>
      <c r="G119" s="29" t="str" cm="1">
        <f t="array" aca="1" ref="G119" ca="1">INDIRECT("mercancia!D"&amp;(INT((ROW()-2)/5)+2))</f>
        <v>900.890.123-8</v>
      </c>
      <c r="H119" s="27" t="str">
        <f>CHOOSE(MOD(23,3)+1,"CC-100 Bodega Central","CC-101 Sucursal Centro","CC-102 Sucursal Itagüí")</f>
        <v>CC-102 Sucursal Itagüí</v>
      </c>
      <c r="I119" s="27" t="str">
        <f ca="1">"ReteFuente "&amp;TEXT(mercancia!K25,"0.0%")&amp;" sobre compra "&amp;mercancia!A25</f>
        <v>ReteFuente 04% sobre compra FE-1024</v>
      </c>
      <c r="J119" s="30">
        <f>0</f>
        <v>0</v>
      </c>
      <c r="K119" s="30">
        <f ca="1">mercancia!L25</f>
        <v>104720</v>
      </c>
      <c r="L119" s="31" t="str">
        <f>mercancia!A25</f>
        <v>FE-1024</v>
      </c>
    </row>
    <row r="120" spans="1:12" x14ac:dyDescent="0.35">
      <c r="A120" s="26" t="str">
        <f>"CC-MC-"&amp;TEXT(1023,"0000")</f>
        <v>CC-MC-1023</v>
      </c>
      <c r="B120" s="27" t="str">
        <f>"Causación Compra"</f>
        <v>Causación Compra</v>
      </c>
      <c r="C120" s="28">
        <f ca="1">mercancia!B25</f>
        <v>46051</v>
      </c>
      <c r="D120" s="69" t="str">
        <f>"236805"</f>
        <v>236805</v>
      </c>
      <c r="E120" s="27" t="str">
        <f>"Retención ICA - Medellín 11.04‰"</f>
        <v>Retención ICA - Medellín 11.04‰</v>
      </c>
      <c r="F120" s="27" t="str">
        <f ca="1">mercancia!C25</f>
        <v>Tornillería Nacional del Valle de Aburrá</v>
      </c>
      <c r="G120" s="29" t="str" cm="1">
        <f t="array" aca="1" ref="G120" ca="1">INDIRECT("mercancia!D"&amp;(INT((ROW()-2)/5)+2))</f>
        <v>900.890.123-8</v>
      </c>
      <c r="H120" s="27" t="str">
        <f>CHOOSE(MOD(23,3)+1,"CC-100 Bodega Central","CC-101 Sucursal Centro","CC-102 Sucursal Itagüí")</f>
        <v>CC-102 Sucursal Itagüí</v>
      </c>
      <c r="I120" s="27" t="str">
        <f>"ReteICA Medellín sobre compra "&amp;mercancia!A25</f>
        <v>ReteICA Medellín sobre compra FE-1024</v>
      </c>
      <c r="J120" s="30">
        <f>0</f>
        <v>0</v>
      </c>
      <c r="K120" s="30">
        <f ca="1">mercancia!N25</f>
        <v>33032</v>
      </c>
      <c r="L120" s="31" t="str">
        <f>mercancia!A25</f>
        <v>FE-1024</v>
      </c>
    </row>
    <row r="121" spans="1:12" x14ac:dyDescent="0.35">
      <c r="A121" s="26" t="str">
        <f>"CC-MC-"&amp;TEXT(1023,"0000")</f>
        <v>CC-MC-1023</v>
      </c>
      <c r="B121" s="27" t="str">
        <f>"Causación Compra"</f>
        <v>Causación Compra</v>
      </c>
      <c r="C121" s="28">
        <f ca="1">mercancia!B25</f>
        <v>46051</v>
      </c>
      <c r="D121" s="69" t="str">
        <f>"220505"</f>
        <v>220505</v>
      </c>
      <c r="E121" s="27" t="str">
        <f>"Proveedores nacionales"</f>
        <v>Proveedores nacionales</v>
      </c>
      <c r="F121" s="27" t="str">
        <f ca="1">mercancia!C25</f>
        <v>Tornillería Nacional del Valle de Aburrá</v>
      </c>
      <c r="G121" s="29" t="str" cm="1">
        <f t="array" aca="1" ref="G121" ca="1">INDIRECT("mercancia!D"&amp;(INT((ROW()-2)/5)+2))</f>
        <v>900.890.123-8</v>
      </c>
      <c r="H121" s="27" t="str">
        <f>CHOOSE(MOD(23,3)+1,"CC-100 Bodega Central","CC-101 Sucursal Centro","CC-102 Sucursal Itagüí")</f>
        <v>CC-102 Sucursal Itagüí</v>
      </c>
      <c r="I121" s="27" t="str">
        <f>"Cuenta por pagar proveedor - "&amp;mercancia!A25</f>
        <v>Cuenta por pagar proveedor - FE-1024</v>
      </c>
      <c r="J121" s="30">
        <f>0</f>
        <v>0</v>
      </c>
      <c r="K121" s="30">
        <f ca="1">mercancia!O25</f>
        <v>3422728</v>
      </c>
      <c r="L121" s="31" t="str">
        <f>mercancia!A25</f>
        <v>FE-1024</v>
      </c>
    </row>
    <row r="122" spans="1:12" x14ac:dyDescent="0.35">
      <c r="A122" s="20" t="str">
        <f>"CC-MC-"&amp;TEXT(1024,"0000")</f>
        <v>CC-MC-1024</v>
      </c>
      <c r="B122" s="21" t="str">
        <f>"Causación Compra"</f>
        <v>Causación Compra</v>
      </c>
      <c r="C122" s="22">
        <f ca="1">mercancia!B26</f>
        <v>46032</v>
      </c>
      <c r="D122" s="68" t="str">
        <f>"143505"</f>
        <v>143505</v>
      </c>
      <c r="E122" s="21" t="str">
        <f>"Mercancías no fabricadas por la empresa"</f>
        <v>Mercancías no fabricadas por la empresa</v>
      </c>
      <c r="F122" s="21" t="str">
        <f ca="1">mercancia!C26</f>
        <v>El Constructor S.A.S.</v>
      </c>
      <c r="G122" s="23" t="str" cm="1">
        <f t="array" aca="1" ref="G122" ca="1">INDIRECT("mercancia!D"&amp;(INT((ROW()-2)/5)+2))</f>
        <v>901.123.456-1</v>
      </c>
      <c r="H122" s="21" t="str">
        <f>CHOOSE(MOD(24,3)+1,"CC-100 Bodega Central","CC-101 Sucursal Centro","CC-102 Sucursal Itagüí")</f>
        <v>CC-100 Bodega Central</v>
      </c>
      <c r="I122" s="21" t="str">
        <f ca="1">"Compra mercancía - "&amp;mercancia!E26&amp;" - "&amp;mercancia!A26</f>
        <v>Compra mercancía - Bloque de concreto 10x20x40 - FE-1025</v>
      </c>
      <c r="J122" s="24">
        <f ca="1">mercancia!H26</f>
        <v>745200</v>
      </c>
      <c r="K122" s="24">
        <f>0</f>
        <v>0</v>
      </c>
      <c r="L122" s="25" t="str">
        <f>mercancia!A26</f>
        <v>FE-1025</v>
      </c>
    </row>
    <row r="123" spans="1:12" x14ac:dyDescent="0.35">
      <c r="A123" s="20" t="str">
        <f>"CC-MC-"&amp;TEXT(1024,"0000")</f>
        <v>CC-MC-1024</v>
      </c>
      <c r="B123" s="21" t="str">
        <f>"Causación Compra"</f>
        <v>Causación Compra</v>
      </c>
      <c r="C123" s="22">
        <f ca="1">mercancia!B26</f>
        <v>46032</v>
      </c>
      <c r="D123" s="68" t="str">
        <f>"240805"</f>
        <v>240805</v>
      </c>
      <c r="E123" s="21" t="str">
        <f>"IVA descontable - 19%"</f>
        <v>IVA descontable - 19%</v>
      </c>
      <c r="F123" s="21" t="str">
        <f ca="1">mercancia!C26</f>
        <v>El Constructor S.A.S.</v>
      </c>
      <c r="G123" s="23" t="str" cm="1">
        <f t="array" aca="1" ref="G123" ca="1">INDIRECT("mercancia!D"&amp;(INT((ROW()-2)/5)+2))</f>
        <v>901.123.456-1</v>
      </c>
      <c r="H123" s="21" t="str">
        <f>CHOOSE(MOD(24,3)+1,"CC-100 Bodega Central","CC-101 Sucursal Centro","CC-102 Sucursal Itagüí")</f>
        <v>CC-100 Bodega Central</v>
      </c>
      <c r="I123" s="21" t="str">
        <f>"IVA descontable factura "&amp;mercancia!A26</f>
        <v>IVA descontable factura FE-1025</v>
      </c>
      <c r="J123" s="24">
        <f ca="1">mercancia!I26</f>
        <v>141588</v>
      </c>
      <c r="K123" s="24">
        <f>0</f>
        <v>0</v>
      </c>
      <c r="L123" s="25" t="str">
        <f>mercancia!A26</f>
        <v>FE-1025</v>
      </c>
    </row>
    <row r="124" spans="1:12" x14ac:dyDescent="0.35">
      <c r="A124" s="20" t="str">
        <f>"CC-MC-"&amp;TEXT(1024,"0000")</f>
        <v>CC-MC-1024</v>
      </c>
      <c r="B124" s="21" t="str">
        <f>"Causación Compra"</f>
        <v>Causación Compra</v>
      </c>
      <c r="C124" s="22">
        <f ca="1">mercancia!B26</f>
        <v>46032</v>
      </c>
      <c r="D124" s="68" t="str">
        <f>"236540"</f>
        <v>236540</v>
      </c>
      <c r="E124" s="21" t="str">
        <f>"Retención en la fuente - Compras"</f>
        <v>Retención en la fuente - Compras</v>
      </c>
      <c r="F124" s="21" t="str">
        <f ca="1">mercancia!C26</f>
        <v>El Constructor S.A.S.</v>
      </c>
      <c r="G124" s="23" t="str" cm="1">
        <f t="array" aca="1" ref="G124" ca="1">INDIRECT("mercancia!D"&amp;(INT((ROW()-2)/5)+2))</f>
        <v>901.123.456-1</v>
      </c>
      <c r="H124" s="21" t="str">
        <f>CHOOSE(MOD(24,3)+1,"CC-100 Bodega Central","CC-101 Sucursal Centro","CC-102 Sucursal Itagüí")</f>
        <v>CC-100 Bodega Central</v>
      </c>
      <c r="I124" s="21" t="str">
        <f ca="1">"ReteFuente "&amp;TEXT(mercancia!K26,"0.0%")&amp;" sobre compra "&amp;mercancia!A26</f>
        <v>ReteFuente 03% sobre compra FE-1025</v>
      </c>
      <c r="J124" s="24">
        <f>0</f>
        <v>0</v>
      </c>
      <c r="K124" s="24">
        <f ca="1">mercancia!L26</f>
        <v>18630</v>
      </c>
      <c r="L124" s="25" t="str">
        <f>mercancia!A26</f>
        <v>FE-1025</v>
      </c>
    </row>
    <row r="125" spans="1:12" x14ac:dyDescent="0.35">
      <c r="A125" s="20" t="str">
        <f>"CC-MC-"&amp;TEXT(1024,"0000")</f>
        <v>CC-MC-1024</v>
      </c>
      <c r="B125" s="21" t="str">
        <f>"Causación Compra"</f>
        <v>Causación Compra</v>
      </c>
      <c r="C125" s="22">
        <f ca="1">mercancia!B26</f>
        <v>46032</v>
      </c>
      <c r="D125" s="68" t="str">
        <f>"236805"</f>
        <v>236805</v>
      </c>
      <c r="E125" s="21" t="str">
        <f>"Retención ICA - Medellín 11.04‰"</f>
        <v>Retención ICA - Medellín 11.04‰</v>
      </c>
      <c r="F125" s="21" t="str">
        <f ca="1">mercancia!C26</f>
        <v>El Constructor S.A.S.</v>
      </c>
      <c r="G125" s="23" t="str" cm="1">
        <f t="array" aca="1" ref="G125" ca="1">INDIRECT("mercancia!D"&amp;(INT((ROW()-2)/5)+2))</f>
        <v>901.123.456-1</v>
      </c>
      <c r="H125" s="21" t="str">
        <f>CHOOSE(MOD(24,3)+1,"CC-100 Bodega Central","CC-101 Sucursal Centro","CC-102 Sucursal Itagüí")</f>
        <v>CC-100 Bodega Central</v>
      </c>
      <c r="I125" s="21" t="str">
        <f>"ReteICA Medellín sobre compra "&amp;mercancia!A26</f>
        <v>ReteICA Medellín sobre compra FE-1025</v>
      </c>
      <c r="J125" s="24">
        <f>0</f>
        <v>0</v>
      </c>
      <c r="K125" s="24">
        <f ca="1">mercancia!N26</f>
        <v>8227</v>
      </c>
      <c r="L125" s="25" t="str">
        <f>mercancia!A26</f>
        <v>FE-1025</v>
      </c>
    </row>
    <row r="126" spans="1:12" x14ac:dyDescent="0.35">
      <c r="A126" s="20" t="str">
        <f>"CC-MC-"&amp;TEXT(1024,"0000")</f>
        <v>CC-MC-1024</v>
      </c>
      <c r="B126" s="21" t="str">
        <f>"Causación Compra"</f>
        <v>Causación Compra</v>
      </c>
      <c r="C126" s="22">
        <f ca="1">mercancia!B26</f>
        <v>46032</v>
      </c>
      <c r="D126" s="68" t="str">
        <f>"220505"</f>
        <v>220505</v>
      </c>
      <c r="E126" s="21" t="str">
        <f>"Proveedores nacionales"</f>
        <v>Proveedores nacionales</v>
      </c>
      <c r="F126" s="21" t="str">
        <f ca="1">mercancia!C26</f>
        <v>El Constructor S.A.S.</v>
      </c>
      <c r="G126" s="23" t="str" cm="1">
        <f t="array" aca="1" ref="G126" ca="1">INDIRECT("mercancia!D"&amp;(INT((ROW()-2)/5)+2))</f>
        <v>901.123.456-1</v>
      </c>
      <c r="H126" s="21" t="str">
        <f>CHOOSE(MOD(24,3)+1,"CC-100 Bodega Central","CC-101 Sucursal Centro","CC-102 Sucursal Itagüí")</f>
        <v>CC-100 Bodega Central</v>
      </c>
      <c r="I126" s="21" t="str">
        <f>"Cuenta por pagar proveedor - "&amp;mercancia!A26</f>
        <v>Cuenta por pagar proveedor - FE-1025</v>
      </c>
      <c r="J126" s="24">
        <f>0</f>
        <v>0</v>
      </c>
      <c r="K126" s="24">
        <f ca="1">mercancia!O26</f>
        <v>859931</v>
      </c>
      <c r="L126" s="25" t="str">
        <f>mercancia!A26</f>
        <v>FE-1025</v>
      </c>
    </row>
    <row r="127" spans="1:12" x14ac:dyDescent="0.35">
      <c r="A127" s="26" t="str">
        <f>"CC-MC-"&amp;TEXT(1025,"0000")</f>
        <v>CC-MC-1025</v>
      </c>
      <c r="B127" s="27" t="str">
        <f>"Causación Compra"</f>
        <v>Causación Compra</v>
      </c>
      <c r="C127" s="28">
        <f ca="1">mercancia!B27</f>
        <v>46096</v>
      </c>
      <c r="D127" s="69" t="str">
        <f>"143505"</f>
        <v>143505</v>
      </c>
      <c r="E127" s="27" t="str">
        <f>"Mercancías no fabricadas por la empresa"</f>
        <v>Mercancías no fabricadas por la empresa</v>
      </c>
      <c r="F127" s="27" t="str">
        <f ca="1">mercancia!C27</f>
        <v>Suministros Ferreteros La 80 Ltda.</v>
      </c>
      <c r="G127" s="29" t="str" cm="1">
        <f t="array" aca="1" ref="G127" ca="1">INDIRECT("mercancia!D"&amp;(INT((ROW()-2)/5)+2))</f>
        <v>900.678.901-6</v>
      </c>
      <c r="H127" s="27" t="str">
        <f>CHOOSE(MOD(25,3)+1,"CC-100 Bodega Central","CC-101 Sucursal Centro","CC-102 Sucursal Itagüí")</f>
        <v>CC-101 Sucursal Centro</v>
      </c>
      <c r="I127" s="27" t="str">
        <f ca="1">"Compra mercancía - "&amp;mercancia!E27&amp;" - "&amp;mercancia!A27</f>
        <v>Compra mercancía - Lámina de drywall 1.22x2.44m - FE-1026</v>
      </c>
      <c r="J127" s="30">
        <f ca="1">mercancia!H27</f>
        <v>6396000</v>
      </c>
      <c r="K127" s="30">
        <f>0</f>
        <v>0</v>
      </c>
      <c r="L127" s="31" t="str">
        <f>mercancia!A27</f>
        <v>FE-1026</v>
      </c>
    </row>
    <row r="128" spans="1:12" x14ac:dyDescent="0.35">
      <c r="A128" s="26" t="str">
        <f>"CC-MC-"&amp;TEXT(1025,"0000")</f>
        <v>CC-MC-1025</v>
      </c>
      <c r="B128" s="27" t="str">
        <f>"Causación Compra"</f>
        <v>Causación Compra</v>
      </c>
      <c r="C128" s="28">
        <f ca="1">mercancia!B27</f>
        <v>46096</v>
      </c>
      <c r="D128" s="69" t="str">
        <f>"240805"</f>
        <v>240805</v>
      </c>
      <c r="E128" s="27" t="str">
        <f>"IVA descontable - 19%"</f>
        <v>IVA descontable - 19%</v>
      </c>
      <c r="F128" s="27" t="str">
        <f ca="1">mercancia!C27</f>
        <v>Suministros Ferreteros La 80 Ltda.</v>
      </c>
      <c r="G128" s="29" t="str" cm="1">
        <f t="array" aca="1" ref="G128" ca="1">INDIRECT("mercancia!D"&amp;(INT((ROW()-2)/5)+2))</f>
        <v>900.678.901-6</v>
      </c>
      <c r="H128" s="27" t="str">
        <f>CHOOSE(MOD(25,3)+1,"CC-100 Bodega Central","CC-101 Sucursal Centro","CC-102 Sucursal Itagüí")</f>
        <v>CC-101 Sucursal Centro</v>
      </c>
      <c r="I128" s="27" t="str">
        <f>"IVA descontable factura "&amp;mercancia!A27</f>
        <v>IVA descontable factura FE-1026</v>
      </c>
      <c r="J128" s="30">
        <f ca="1">mercancia!I27</f>
        <v>1215240</v>
      </c>
      <c r="K128" s="30">
        <f>0</f>
        <v>0</v>
      </c>
      <c r="L128" s="31" t="str">
        <f>mercancia!A27</f>
        <v>FE-1026</v>
      </c>
    </row>
    <row r="129" spans="1:12" x14ac:dyDescent="0.35">
      <c r="A129" s="26" t="str">
        <f>"CC-MC-"&amp;TEXT(1025,"0000")</f>
        <v>CC-MC-1025</v>
      </c>
      <c r="B129" s="27" t="str">
        <f>"Causación Compra"</f>
        <v>Causación Compra</v>
      </c>
      <c r="C129" s="28">
        <f ca="1">mercancia!B27</f>
        <v>46096</v>
      </c>
      <c r="D129" s="69" t="str">
        <f>"236540"</f>
        <v>236540</v>
      </c>
      <c r="E129" s="27" t="str">
        <f>"Retención en la fuente - Compras"</f>
        <v>Retención en la fuente - Compras</v>
      </c>
      <c r="F129" s="27" t="str">
        <f ca="1">mercancia!C27</f>
        <v>Suministros Ferreteros La 80 Ltda.</v>
      </c>
      <c r="G129" s="29" t="str" cm="1">
        <f t="array" aca="1" ref="G129" ca="1">INDIRECT("mercancia!D"&amp;(INT((ROW()-2)/5)+2))</f>
        <v>900.678.901-6</v>
      </c>
      <c r="H129" s="27" t="str">
        <f>CHOOSE(MOD(25,3)+1,"CC-100 Bodega Central","CC-101 Sucursal Centro","CC-102 Sucursal Itagüí")</f>
        <v>CC-101 Sucursal Centro</v>
      </c>
      <c r="I129" s="27" t="str">
        <f ca="1">"ReteFuente "&amp;TEXT(mercancia!K27,"0.0%")&amp;" sobre compra "&amp;mercancia!A27</f>
        <v>ReteFuente 04% sobre compra FE-1026</v>
      </c>
      <c r="J129" s="30">
        <f>0</f>
        <v>0</v>
      </c>
      <c r="K129" s="30">
        <f ca="1">mercancia!L27</f>
        <v>223860</v>
      </c>
      <c r="L129" s="31" t="str">
        <f>mercancia!A27</f>
        <v>FE-1026</v>
      </c>
    </row>
    <row r="130" spans="1:12" x14ac:dyDescent="0.35">
      <c r="A130" s="26" t="str">
        <f>"CC-MC-"&amp;TEXT(1025,"0000")</f>
        <v>CC-MC-1025</v>
      </c>
      <c r="B130" s="27" t="str">
        <f>"Causación Compra"</f>
        <v>Causación Compra</v>
      </c>
      <c r="C130" s="28">
        <f ca="1">mercancia!B27</f>
        <v>46096</v>
      </c>
      <c r="D130" s="69" t="str">
        <f>"236805"</f>
        <v>236805</v>
      </c>
      <c r="E130" s="27" t="str">
        <f>"Retención ICA - Medellín 11.04‰"</f>
        <v>Retención ICA - Medellín 11.04‰</v>
      </c>
      <c r="F130" s="27" t="str">
        <f ca="1">mercancia!C27</f>
        <v>Suministros Ferreteros La 80 Ltda.</v>
      </c>
      <c r="G130" s="29" t="str" cm="1">
        <f t="array" aca="1" ref="G130" ca="1">INDIRECT("mercancia!D"&amp;(INT((ROW()-2)/5)+2))</f>
        <v>900.678.901-6</v>
      </c>
      <c r="H130" s="27" t="str">
        <f>CHOOSE(MOD(25,3)+1,"CC-100 Bodega Central","CC-101 Sucursal Centro","CC-102 Sucursal Itagüí")</f>
        <v>CC-101 Sucursal Centro</v>
      </c>
      <c r="I130" s="27" t="str">
        <f>"ReteICA Medellín sobre compra "&amp;mercancia!A27</f>
        <v>ReteICA Medellín sobre compra FE-1026</v>
      </c>
      <c r="J130" s="30">
        <f>0</f>
        <v>0</v>
      </c>
      <c r="K130" s="30">
        <f ca="1">mercancia!N27</f>
        <v>70612</v>
      </c>
      <c r="L130" s="31" t="str">
        <f>mercancia!A27</f>
        <v>FE-1026</v>
      </c>
    </row>
    <row r="131" spans="1:12" x14ac:dyDescent="0.35">
      <c r="A131" s="26" t="str">
        <f>"CC-MC-"&amp;TEXT(1025,"0000")</f>
        <v>CC-MC-1025</v>
      </c>
      <c r="B131" s="27" t="str">
        <f>"Causación Compra"</f>
        <v>Causación Compra</v>
      </c>
      <c r="C131" s="28">
        <f ca="1">mercancia!B27</f>
        <v>46096</v>
      </c>
      <c r="D131" s="69" t="str">
        <f>"220505"</f>
        <v>220505</v>
      </c>
      <c r="E131" s="27" t="str">
        <f>"Proveedores nacionales"</f>
        <v>Proveedores nacionales</v>
      </c>
      <c r="F131" s="27" t="str">
        <f ca="1">mercancia!C27</f>
        <v>Suministros Ferreteros La 80 Ltda.</v>
      </c>
      <c r="G131" s="29" t="str" cm="1">
        <f t="array" aca="1" ref="G131" ca="1">INDIRECT("mercancia!D"&amp;(INT((ROW()-2)/5)+2))</f>
        <v>900.678.901-6</v>
      </c>
      <c r="H131" s="27" t="str">
        <f>CHOOSE(MOD(25,3)+1,"CC-100 Bodega Central","CC-101 Sucursal Centro","CC-102 Sucursal Itagüí")</f>
        <v>CC-101 Sucursal Centro</v>
      </c>
      <c r="I131" s="27" t="str">
        <f>"Cuenta por pagar proveedor - "&amp;mercancia!A27</f>
        <v>Cuenta por pagar proveedor - FE-1026</v>
      </c>
      <c r="J131" s="30">
        <f>0</f>
        <v>0</v>
      </c>
      <c r="K131" s="30">
        <f ca="1">mercancia!O27</f>
        <v>7316768</v>
      </c>
      <c r="L131" s="31" t="str">
        <f>mercancia!A27</f>
        <v>FE-1026</v>
      </c>
    </row>
    <row r="132" spans="1:12" x14ac:dyDescent="0.35">
      <c r="A132" s="20" t="str">
        <f>"CC-MC-"&amp;TEXT(1026,"0000")</f>
        <v>CC-MC-1026</v>
      </c>
      <c r="B132" s="21" t="str">
        <f>"Causación Compra"</f>
        <v>Causación Compra</v>
      </c>
      <c r="C132" s="22">
        <f ca="1">mercancia!B28</f>
        <v>46057</v>
      </c>
      <c r="D132" s="68" t="str">
        <f>"143505"</f>
        <v>143505</v>
      </c>
      <c r="E132" s="21" t="str">
        <f>"Mercancías no fabricadas por la empresa"</f>
        <v>Mercancías no fabricadas por la empresa</v>
      </c>
      <c r="F132" s="21" t="str">
        <f ca="1">mercancia!C28</f>
        <v>Materiales La Estrella S.A.S.</v>
      </c>
      <c r="G132" s="23" t="str" cm="1">
        <f t="array" aca="1" ref="G132" ca="1">INDIRECT("mercancia!D"&amp;(INT((ROW()-2)/5)+2))</f>
        <v>901.345.678-3</v>
      </c>
      <c r="H132" s="21" t="str">
        <f>CHOOSE(MOD(26,3)+1,"CC-100 Bodega Central","CC-101 Sucursal Centro","CC-102 Sucursal Itagüí")</f>
        <v>CC-102 Sucursal Itagüí</v>
      </c>
      <c r="I132" s="21" t="str">
        <f ca="1">"Compra mercancía - "&amp;mercancia!E28&amp;" - "&amp;mercancia!A28</f>
        <v>Compra mercancía - Tornillería Nacional del Valle de Aburrá - FE-1027</v>
      </c>
      <c r="J132" s="24">
        <f ca="1">mercancia!H28</f>
        <v>218000</v>
      </c>
      <c r="K132" s="24">
        <f>0</f>
        <v>0</v>
      </c>
      <c r="L132" s="25" t="str">
        <f>mercancia!A28</f>
        <v>FE-1027</v>
      </c>
    </row>
    <row r="133" spans="1:12" x14ac:dyDescent="0.35">
      <c r="A133" s="20" t="str">
        <f>"CC-MC-"&amp;TEXT(1026,"0000")</f>
        <v>CC-MC-1026</v>
      </c>
      <c r="B133" s="21" t="str">
        <f>"Causación Compra"</f>
        <v>Causación Compra</v>
      </c>
      <c r="C133" s="22">
        <f ca="1">mercancia!B28</f>
        <v>46057</v>
      </c>
      <c r="D133" s="68" t="str">
        <f>"240805"</f>
        <v>240805</v>
      </c>
      <c r="E133" s="21" t="str">
        <f>"IVA descontable - 19%"</f>
        <v>IVA descontable - 19%</v>
      </c>
      <c r="F133" s="21" t="str">
        <f ca="1">mercancia!C28</f>
        <v>Materiales La Estrella S.A.S.</v>
      </c>
      <c r="G133" s="23" t="str" cm="1">
        <f t="array" aca="1" ref="G133" ca="1">INDIRECT("mercancia!D"&amp;(INT((ROW()-2)/5)+2))</f>
        <v>901.345.678-3</v>
      </c>
      <c r="H133" s="21" t="str">
        <f>CHOOSE(MOD(26,3)+1,"CC-100 Bodega Central","CC-101 Sucursal Centro","CC-102 Sucursal Itagüí")</f>
        <v>CC-102 Sucursal Itagüí</v>
      </c>
      <c r="I133" s="21" t="str">
        <f>"IVA descontable factura "&amp;mercancia!A28</f>
        <v>IVA descontable factura FE-1027</v>
      </c>
      <c r="J133" s="24">
        <f ca="1">mercancia!I28</f>
        <v>41420</v>
      </c>
      <c r="K133" s="24">
        <f>0</f>
        <v>0</v>
      </c>
      <c r="L133" s="25" t="str">
        <f>mercancia!A28</f>
        <v>FE-1027</v>
      </c>
    </row>
    <row r="134" spans="1:12" x14ac:dyDescent="0.35">
      <c r="A134" s="20" t="str">
        <f>"CC-MC-"&amp;TEXT(1026,"0000")</f>
        <v>CC-MC-1026</v>
      </c>
      <c r="B134" s="21" t="str">
        <f>"Causación Compra"</f>
        <v>Causación Compra</v>
      </c>
      <c r="C134" s="22">
        <f ca="1">mercancia!B28</f>
        <v>46057</v>
      </c>
      <c r="D134" s="68" t="str">
        <f>"236540"</f>
        <v>236540</v>
      </c>
      <c r="E134" s="21" t="str">
        <f>"Retención en la fuente - Compras"</f>
        <v>Retención en la fuente - Compras</v>
      </c>
      <c r="F134" s="21" t="str">
        <f ca="1">mercancia!C28</f>
        <v>Materiales La Estrella S.A.S.</v>
      </c>
      <c r="G134" s="23" t="str" cm="1">
        <f t="array" aca="1" ref="G134" ca="1">INDIRECT("mercancia!D"&amp;(INT((ROW()-2)/5)+2))</f>
        <v>901.345.678-3</v>
      </c>
      <c r="H134" s="21" t="str">
        <f>CHOOSE(MOD(26,3)+1,"CC-100 Bodega Central","CC-101 Sucursal Centro","CC-102 Sucursal Itagüí")</f>
        <v>CC-102 Sucursal Itagüí</v>
      </c>
      <c r="I134" s="21" t="str">
        <f ca="1">"ReteFuente "&amp;TEXT(mercancia!K28,"0.0%")&amp;" sobre compra "&amp;mercancia!A28</f>
        <v>ReteFuente 03% sobre compra FE-1027</v>
      </c>
      <c r="J134" s="24">
        <f>0</f>
        <v>0</v>
      </c>
      <c r="K134" s="24">
        <f ca="1">mercancia!L28</f>
        <v>5450</v>
      </c>
      <c r="L134" s="25" t="str">
        <f>mercancia!A28</f>
        <v>FE-1027</v>
      </c>
    </row>
    <row r="135" spans="1:12" x14ac:dyDescent="0.35">
      <c r="A135" s="20" t="str">
        <f>"CC-MC-"&amp;TEXT(1026,"0000")</f>
        <v>CC-MC-1026</v>
      </c>
      <c r="B135" s="21" t="str">
        <f>"Causación Compra"</f>
        <v>Causación Compra</v>
      </c>
      <c r="C135" s="22">
        <f ca="1">mercancia!B28</f>
        <v>46057</v>
      </c>
      <c r="D135" s="68" t="str">
        <f>"236805"</f>
        <v>236805</v>
      </c>
      <c r="E135" s="21" t="str">
        <f>"Retención ICA - Medellín 11.04‰"</f>
        <v>Retención ICA - Medellín 11.04‰</v>
      </c>
      <c r="F135" s="21" t="str">
        <f ca="1">mercancia!C28</f>
        <v>Materiales La Estrella S.A.S.</v>
      </c>
      <c r="G135" s="23" t="str" cm="1">
        <f t="array" aca="1" ref="G135" ca="1">INDIRECT("mercancia!D"&amp;(INT((ROW()-2)/5)+2))</f>
        <v>901.345.678-3</v>
      </c>
      <c r="H135" s="21" t="str">
        <f>CHOOSE(MOD(26,3)+1,"CC-100 Bodega Central","CC-101 Sucursal Centro","CC-102 Sucursal Itagüí")</f>
        <v>CC-102 Sucursal Itagüí</v>
      </c>
      <c r="I135" s="21" t="str">
        <f>"ReteICA Medellín sobre compra "&amp;mercancia!A28</f>
        <v>ReteICA Medellín sobre compra FE-1027</v>
      </c>
      <c r="J135" s="24">
        <f>0</f>
        <v>0</v>
      </c>
      <c r="K135" s="24">
        <f ca="1">mercancia!N28</f>
        <v>2407</v>
      </c>
      <c r="L135" s="25" t="str">
        <f>mercancia!A28</f>
        <v>FE-1027</v>
      </c>
    </row>
    <row r="136" spans="1:12" x14ac:dyDescent="0.35">
      <c r="A136" s="20" t="str">
        <f>"CC-MC-"&amp;TEXT(1026,"0000")</f>
        <v>CC-MC-1026</v>
      </c>
      <c r="B136" s="21" t="str">
        <f>"Causación Compra"</f>
        <v>Causación Compra</v>
      </c>
      <c r="C136" s="22">
        <f ca="1">mercancia!B28</f>
        <v>46057</v>
      </c>
      <c r="D136" s="68" t="str">
        <f>"220505"</f>
        <v>220505</v>
      </c>
      <c r="E136" s="21" t="str">
        <f>"Proveedores nacionales"</f>
        <v>Proveedores nacionales</v>
      </c>
      <c r="F136" s="21" t="str">
        <f ca="1">mercancia!C28</f>
        <v>Materiales La Estrella S.A.S.</v>
      </c>
      <c r="G136" s="23" t="str" cm="1">
        <f t="array" aca="1" ref="G136" ca="1">INDIRECT("mercancia!D"&amp;(INT((ROW()-2)/5)+2))</f>
        <v>901.345.678-3</v>
      </c>
      <c r="H136" s="21" t="str">
        <f>CHOOSE(MOD(26,3)+1,"CC-100 Bodega Central","CC-101 Sucursal Centro","CC-102 Sucursal Itagüí")</f>
        <v>CC-102 Sucursal Itagüí</v>
      </c>
      <c r="I136" s="21" t="str">
        <f>"Cuenta por pagar proveedor - "&amp;mercancia!A28</f>
        <v>Cuenta por pagar proveedor - FE-1027</v>
      </c>
      <c r="J136" s="24">
        <f>0</f>
        <v>0</v>
      </c>
      <c r="K136" s="24">
        <f ca="1">mercancia!O28</f>
        <v>251563</v>
      </c>
      <c r="L136" s="25" t="str">
        <f>mercancia!A28</f>
        <v>FE-1027</v>
      </c>
    </row>
    <row r="137" spans="1:12" x14ac:dyDescent="0.35">
      <c r="A137" s="26" t="str">
        <f>"CC-MC-"&amp;TEXT(1027,"0000")</f>
        <v>CC-MC-1027</v>
      </c>
      <c r="B137" s="27" t="str">
        <f>"Causación Compra"</f>
        <v>Causación Compra</v>
      </c>
      <c r="C137" s="28">
        <f ca="1">mercancia!B29</f>
        <v>46090</v>
      </c>
      <c r="D137" s="69" t="str">
        <f>"143505"</f>
        <v>143505</v>
      </c>
      <c r="E137" s="27" t="str">
        <f>"Mercancías no fabricadas por la empresa"</f>
        <v>Mercancías no fabricadas por la empresa</v>
      </c>
      <c r="F137" s="27" t="str">
        <f ca="1">mercancia!C29</f>
        <v>Acabados y Construcción Poblado S.A.S.</v>
      </c>
      <c r="G137" s="29" t="str" cm="1">
        <f t="array" aca="1" ref="G137" ca="1">INDIRECT("mercancia!D"&amp;(INT((ROW()-2)/5)+2))</f>
        <v>901.567.890-5</v>
      </c>
      <c r="H137" s="27" t="str">
        <f>CHOOSE(MOD(27,3)+1,"CC-100 Bodega Central","CC-101 Sucursal Centro","CC-102 Sucursal Itagüí")</f>
        <v>CC-100 Bodega Central</v>
      </c>
      <c r="I137" s="27" t="str">
        <f ca="1">"Compra mercancía - "&amp;mercancia!E29&amp;" - "&amp;mercancia!A29</f>
        <v>Compra mercancía - El Constructor S.A.S. - FE-1028</v>
      </c>
      <c r="J137" s="30">
        <f ca="1">mercancia!H29</f>
        <v>3859200</v>
      </c>
      <c r="K137" s="30">
        <f>0</f>
        <v>0</v>
      </c>
      <c r="L137" s="31" t="str">
        <f>mercancia!A29</f>
        <v>FE-1028</v>
      </c>
    </row>
    <row r="138" spans="1:12" x14ac:dyDescent="0.35">
      <c r="A138" s="26" t="str">
        <f>"CC-MC-"&amp;TEXT(1027,"0000")</f>
        <v>CC-MC-1027</v>
      </c>
      <c r="B138" s="27" t="str">
        <f>"Causación Compra"</f>
        <v>Causación Compra</v>
      </c>
      <c r="C138" s="28">
        <f ca="1">mercancia!B29</f>
        <v>46090</v>
      </c>
      <c r="D138" s="69" t="str">
        <f>"240805"</f>
        <v>240805</v>
      </c>
      <c r="E138" s="27" t="str">
        <f>"IVA descontable - 19%"</f>
        <v>IVA descontable - 19%</v>
      </c>
      <c r="F138" s="27" t="str">
        <f ca="1">mercancia!C29</f>
        <v>Acabados y Construcción Poblado S.A.S.</v>
      </c>
      <c r="G138" s="29" t="str" cm="1">
        <f t="array" aca="1" ref="G138" ca="1">INDIRECT("mercancia!D"&amp;(INT((ROW()-2)/5)+2))</f>
        <v>901.567.890-5</v>
      </c>
      <c r="H138" s="27" t="str">
        <f>CHOOSE(MOD(27,3)+1,"CC-100 Bodega Central","CC-101 Sucursal Centro","CC-102 Sucursal Itagüí")</f>
        <v>CC-100 Bodega Central</v>
      </c>
      <c r="I138" s="27" t="str">
        <f>"IVA descontable factura "&amp;mercancia!A29</f>
        <v>IVA descontable factura FE-1028</v>
      </c>
      <c r="J138" s="30">
        <f ca="1">mercancia!I29</f>
        <v>733248</v>
      </c>
      <c r="K138" s="30">
        <f>0</f>
        <v>0</v>
      </c>
      <c r="L138" s="31" t="str">
        <f>mercancia!A29</f>
        <v>FE-1028</v>
      </c>
    </row>
    <row r="139" spans="1:12" x14ac:dyDescent="0.35">
      <c r="A139" s="26" t="str">
        <f>"CC-MC-"&amp;TEXT(1027,"0000")</f>
        <v>CC-MC-1027</v>
      </c>
      <c r="B139" s="27" t="str">
        <f>"Causación Compra"</f>
        <v>Causación Compra</v>
      </c>
      <c r="C139" s="28">
        <f ca="1">mercancia!B29</f>
        <v>46090</v>
      </c>
      <c r="D139" s="69" t="str">
        <f>"236540"</f>
        <v>236540</v>
      </c>
      <c r="E139" s="27" t="str">
        <f>"Retención en la fuente - Compras"</f>
        <v>Retención en la fuente - Compras</v>
      </c>
      <c r="F139" s="27" t="str">
        <f ca="1">mercancia!C29</f>
        <v>Acabados y Construcción Poblado S.A.S.</v>
      </c>
      <c r="G139" s="29" t="str" cm="1">
        <f t="array" aca="1" ref="G139" ca="1">INDIRECT("mercancia!D"&amp;(INT((ROW()-2)/5)+2))</f>
        <v>901.567.890-5</v>
      </c>
      <c r="H139" s="27" t="str">
        <f>CHOOSE(MOD(27,3)+1,"CC-100 Bodega Central","CC-101 Sucursal Centro","CC-102 Sucursal Itagüí")</f>
        <v>CC-100 Bodega Central</v>
      </c>
      <c r="I139" s="27" t="str">
        <f ca="1">"ReteFuente "&amp;TEXT(mercancia!K29,"0.0%")&amp;" sobre compra "&amp;mercancia!A29</f>
        <v>ReteFuente 04% sobre compra FE-1028</v>
      </c>
      <c r="J139" s="30">
        <f>0</f>
        <v>0</v>
      </c>
      <c r="K139" s="30">
        <f ca="1">mercancia!L29</f>
        <v>135072</v>
      </c>
      <c r="L139" s="31" t="str">
        <f>mercancia!A29</f>
        <v>FE-1028</v>
      </c>
    </row>
    <row r="140" spans="1:12" x14ac:dyDescent="0.35">
      <c r="A140" s="26" t="str">
        <f>"CC-MC-"&amp;TEXT(1027,"0000")</f>
        <v>CC-MC-1027</v>
      </c>
      <c r="B140" s="27" t="str">
        <f>"Causación Compra"</f>
        <v>Causación Compra</v>
      </c>
      <c r="C140" s="28">
        <f ca="1">mercancia!B29</f>
        <v>46090</v>
      </c>
      <c r="D140" s="69" t="str">
        <f>"236805"</f>
        <v>236805</v>
      </c>
      <c r="E140" s="27" t="str">
        <f>"Retención ICA - Medellín 11.04‰"</f>
        <v>Retención ICA - Medellín 11.04‰</v>
      </c>
      <c r="F140" s="27" t="str">
        <f ca="1">mercancia!C29</f>
        <v>Acabados y Construcción Poblado S.A.S.</v>
      </c>
      <c r="G140" s="29" t="str" cm="1">
        <f t="array" aca="1" ref="G140" ca="1">INDIRECT("mercancia!D"&amp;(INT((ROW()-2)/5)+2))</f>
        <v>901.567.890-5</v>
      </c>
      <c r="H140" s="27" t="str">
        <f>CHOOSE(MOD(27,3)+1,"CC-100 Bodega Central","CC-101 Sucursal Centro","CC-102 Sucursal Itagüí")</f>
        <v>CC-100 Bodega Central</v>
      </c>
      <c r="I140" s="27" t="str">
        <f>"ReteICA Medellín sobre compra "&amp;mercancia!A29</f>
        <v>ReteICA Medellín sobre compra FE-1028</v>
      </c>
      <c r="J140" s="30">
        <f>0</f>
        <v>0</v>
      </c>
      <c r="K140" s="30">
        <f ca="1">mercancia!N29</f>
        <v>42606</v>
      </c>
      <c r="L140" s="31" t="str">
        <f>mercancia!A29</f>
        <v>FE-1028</v>
      </c>
    </row>
    <row r="141" spans="1:12" x14ac:dyDescent="0.35">
      <c r="A141" s="26" t="str">
        <f>"CC-MC-"&amp;TEXT(1027,"0000")</f>
        <v>CC-MC-1027</v>
      </c>
      <c r="B141" s="27" t="str">
        <f>"Causación Compra"</f>
        <v>Causación Compra</v>
      </c>
      <c r="C141" s="28">
        <f ca="1">mercancia!B29</f>
        <v>46090</v>
      </c>
      <c r="D141" s="69" t="str">
        <f>"220505"</f>
        <v>220505</v>
      </c>
      <c r="E141" s="27" t="str">
        <f>"Proveedores nacionales"</f>
        <v>Proveedores nacionales</v>
      </c>
      <c r="F141" s="27" t="str">
        <f ca="1">mercancia!C29</f>
        <v>Acabados y Construcción Poblado S.A.S.</v>
      </c>
      <c r="G141" s="29" t="str" cm="1">
        <f t="array" aca="1" ref="G141" ca="1">INDIRECT("mercancia!D"&amp;(INT((ROW()-2)/5)+2))</f>
        <v>901.567.890-5</v>
      </c>
      <c r="H141" s="27" t="str">
        <f>CHOOSE(MOD(27,3)+1,"CC-100 Bodega Central","CC-101 Sucursal Centro","CC-102 Sucursal Itagüí")</f>
        <v>CC-100 Bodega Central</v>
      </c>
      <c r="I141" s="27" t="str">
        <f>"Cuenta por pagar proveedor - "&amp;mercancia!A29</f>
        <v>Cuenta por pagar proveedor - FE-1028</v>
      </c>
      <c r="J141" s="30">
        <f>0</f>
        <v>0</v>
      </c>
      <c r="K141" s="30">
        <f ca="1">mercancia!O29</f>
        <v>4414770</v>
      </c>
      <c r="L141" s="31" t="str">
        <f>mercancia!A29</f>
        <v>FE-1028</v>
      </c>
    </row>
    <row r="142" spans="1:12" x14ac:dyDescent="0.35">
      <c r="A142" s="20" t="str">
        <f>"CC-MC-"&amp;TEXT(1028,"0000")</f>
        <v>CC-MC-1028</v>
      </c>
      <c r="B142" s="21" t="str">
        <f>"Causación Compra"</f>
        <v>Causación Compra</v>
      </c>
      <c r="C142" s="22">
        <f ca="1">mercancia!B30</f>
        <v>46090</v>
      </c>
      <c r="D142" s="68" t="str">
        <f>"143505"</f>
        <v>143505</v>
      </c>
      <c r="E142" s="21" t="str">
        <f>"Mercancías no fabricadas por la empresa"</f>
        <v>Mercancías no fabricadas por la empresa</v>
      </c>
      <c r="F142" s="21" t="str">
        <f ca="1">mercancia!C30</f>
        <v>Acabados y Construcción Poblado S.A.S.</v>
      </c>
      <c r="G142" s="23" t="str" cm="1">
        <f t="array" aca="1" ref="G142" ca="1">INDIRECT("mercancia!D"&amp;(INT((ROW()-2)/5)+2))</f>
        <v>901.567.890-5</v>
      </c>
      <c r="H142" s="21" t="str">
        <f>CHOOSE(MOD(28,3)+1,"CC-100 Bodega Central","CC-101 Sucursal Centro","CC-102 Sucursal Itagüí")</f>
        <v>CC-101 Sucursal Centro</v>
      </c>
      <c r="I142" s="21" t="str">
        <f ca="1">"Compra mercancía - "&amp;mercancia!E30&amp;" - "&amp;mercancia!A30</f>
        <v>Compra mercancía - Casco de seguridad industrial - FE-1029</v>
      </c>
      <c r="J142" s="24">
        <f ca="1">mercancia!H30</f>
        <v>6488000</v>
      </c>
      <c r="K142" s="24">
        <f>0</f>
        <v>0</v>
      </c>
      <c r="L142" s="25" t="str">
        <f>mercancia!A30</f>
        <v>FE-1029</v>
      </c>
    </row>
    <row r="143" spans="1:12" x14ac:dyDescent="0.35">
      <c r="A143" s="20" t="str">
        <f>"CC-MC-"&amp;TEXT(1028,"0000")</f>
        <v>CC-MC-1028</v>
      </c>
      <c r="B143" s="21" t="str">
        <f>"Causación Compra"</f>
        <v>Causación Compra</v>
      </c>
      <c r="C143" s="22">
        <f ca="1">mercancia!B30</f>
        <v>46090</v>
      </c>
      <c r="D143" s="68" t="str">
        <f>"240805"</f>
        <v>240805</v>
      </c>
      <c r="E143" s="21" t="str">
        <f>"IVA descontable - 19%"</f>
        <v>IVA descontable - 19%</v>
      </c>
      <c r="F143" s="21" t="str">
        <f ca="1">mercancia!C30</f>
        <v>Acabados y Construcción Poblado S.A.S.</v>
      </c>
      <c r="G143" s="23" t="str" cm="1">
        <f t="array" aca="1" ref="G143" ca="1">INDIRECT("mercancia!D"&amp;(INT((ROW()-2)/5)+2))</f>
        <v>901.567.890-5</v>
      </c>
      <c r="H143" s="21" t="str">
        <f>CHOOSE(MOD(28,3)+1,"CC-100 Bodega Central","CC-101 Sucursal Centro","CC-102 Sucursal Itagüí")</f>
        <v>CC-101 Sucursal Centro</v>
      </c>
      <c r="I143" s="21" t="str">
        <f>"IVA descontable factura "&amp;mercancia!A30</f>
        <v>IVA descontable factura FE-1029</v>
      </c>
      <c r="J143" s="24">
        <f ca="1">mercancia!I30</f>
        <v>1232720</v>
      </c>
      <c r="K143" s="24">
        <f>0</f>
        <v>0</v>
      </c>
      <c r="L143" s="25" t="str">
        <f>mercancia!A30</f>
        <v>FE-1029</v>
      </c>
    </row>
    <row r="144" spans="1:12" x14ac:dyDescent="0.35">
      <c r="A144" s="20" t="str">
        <f>"CC-MC-"&amp;TEXT(1028,"0000")</f>
        <v>CC-MC-1028</v>
      </c>
      <c r="B144" s="21" t="str">
        <f>"Causación Compra"</f>
        <v>Causación Compra</v>
      </c>
      <c r="C144" s="22">
        <f ca="1">mercancia!B30</f>
        <v>46090</v>
      </c>
      <c r="D144" s="68" t="str">
        <f>"236540"</f>
        <v>236540</v>
      </c>
      <c r="E144" s="21" t="str">
        <f>"Retención en la fuente - Compras"</f>
        <v>Retención en la fuente - Compras</v>
      </c>
      <c r="F144" s="21" t="str">
        <f ca="1">mercancia!C30</f>
        <v>Acabados y Construcción Poblado S.A.S.</v>
      </c>
      <c r="G144" s="23" t="str" cm="1">
        <f t="array" aca="1" ref="G144" ca="1">INDIRECT("mercancia!D"&amp;(INT((ROW()-2)/5)+2))</f>
        <v>901.567.890-5</v>
      </c>
      <c r="H144" s="21" t="str">
        <f>CHOOSE(MOD(28,3)+1,"CC-100 Bodega Central","CC-101 Sucursal Centro","CC-102 Sucursal Itagüí")</f>
        <v>CC-101 Sucursal Centro</v>
      </c>
      <c r="I144" s="21" t="str">
        <f ca="1">"ReteFuente "&amp;TEXT(mercancia!K30,"0.0%")&amp;" sobre compra "&amp;mercancia!A30</f>
        <v>ReteFuente 03% sobre compra FE-1029</v>
      </c>
      <c r="J144" s="24">
        <f>0</f>
        <v>0</v>
      </c>
      <c r="K144" s="24">
        <f ca="1">mercancia!L30</f>
        <v>162200</v>
      </c>
      <c r="L144" s="25" t="str">
        <f>mercancia!A30</f>
        <v>FE-1029</v>
      </c>
    </row>
    <row r="145" spans="1:12" x14ac:dyDescent="0.35">
      <c r="A145" s="20" t="str">
        <f>"CC-MC-"&amp;TEXT(1028,"0000")</f>
        <v>CC-MC-1028</v>
      </c>
      <c r="B145" s="21" t="str">
        <f>"Causación Compra"</f>
        <v>Causación Compra</v>
      </c>
      <c r="C145" s="22">
        <f ca="1">mercancia!B30</f>
        <v>46090</v>
      </c>
      <c r="D145" s="68" t="str">
        <f>"236805"</f>
        <v>236805</v>
      </c>
      <c r="E145" s="21" t="str">
        <f>"Retención ICA - Medellín 11.04‰"</f>
        <v>Retención ICA - Medellín 11.04‰</v>
      </c>
      <c r="F145" s="21" t="str">
        <f ca="1">mercancia!C30</f>
        <v>Acabados y Construcción Poblado S.A.S.</v>
      </c>
      <c r="G145" s="23" t="str" cm="1">
        <f t="array" aca="1" ref="G145" ca="1">INDIRECT("mercancia!D"&amp;(INT((ROW()-2)/5)+2))</f>
        <v>901.567.890-5</v>
      </c>
      <c r="H145" s="21" t="str">
        <f>CHOOSE(MOD(28,3)+1,"CC-100 Bodega Central","CC-101 Sucursal Centro","CC-102 Sucursal Itagüí")</f>
        <v>CC-101 Sucursal Centro</v>
      </c>
      <c r="I145" s="21" t="str">
        <f>"ReteICA Medellín sobre compra "&amp;mercancia!A30</f>
        <v>ReteICA Medellín sobre compra FE-1029</v>
      </c>
      <c r="J145" s="24">
        <f>0</f>
        <v>0</v>
      </c>
      <c r="K145" s="24">
        <f ca="1">mercancia!N30</f>
        <v>71628</v>
      </c>
      <c r="L145" s="25" t="str">
        <f>mercancia!A30</f>
        <v>FE-1029</v>
      </c>
    </row>
    <row r="146" spans="1:12" x14ac:dyDescent="0.35">
      <c r="A146" s="20" t="str">
        <f>"CC-MC-"&amp;TEXT(1028,"0000")</f>
        <v>CC-MC-1028</v>
      </c>
      <c r="B146" s="21" t="str">
        <f>"Causación Compra"</f>
        <v>Causación Compra</v>
      </c>
      <c r="C146" s="22">
        <f ca="1">mercancia!B30</f>
        <v>46090</v>
      </c>
      <c r="D146" s="68" t="str">
        <f>"220505"</f>
        <v>220505</v>
      </c>
      <c r="E146" s="21" t="str">
        <f>"Proveedores nacionales"</f>
        <v>Proveedores nacionales</v>
      </c>
      <c r="F146" s="21" t="str">
        <f ca="1">mercancia!C30</f>
        <v>Acabados y Construcción Poblado S.A.S.</v>
      </c>
      <c r="G146" s="23" t="str" cm="1">
        <f t="array" aca="1" ref="G146" ca="1">INDIRECT("mercancia!D"&amp;(INT((ROW()-2)/5)+2))</f>
        <v>901.567.890-5</v>
      </c>
      <c r="H146" s="21" t="str">
        <f>CHOOSE(MOD(28,3)+1,"CC-100 Bodega Central","CC-101 Sucursal Centro","CC-102 Sucursal Itagüí")</f>
        <v>CC-101 Sucursal Centro</v>
      </c>
      <c r="I146" s="21" t="str">
        <f>"Cuenta por pagar proveedor - "&amp;mercancia!A30</f>
        <v>Cuenta por pagar proveedor - FE-1029</v>
      </c>
      <c r="J146" s="24">
        <f>0</f>
        <v>0</v>
      </c>
      <c r="K146" s="24">
        <f ca="1">mercancia!O30</f>
        <v>7486892</v>
      </c>
      <c r="L146" s="25" t="str">
        <f>mercancia!A30</f>
        <v>FE-1029</v>
      </c>
    </row>
    <row r="147" spans="1:12" x14ac:dyDescent="0.35">
      <c r="A147" s="26" t="str">
        <f>"CC-MC-"&amp;TEXT(1029,"0000")</f>
        <v>CC-MC-1029</v>
      </c>
      <c r="B147" s="27" t="str">
        <f>"Causación Compra"</f>
        <v>Causación Compra</v>
      </c>
      <c r="C147" s="28">
        <f ca="1">mercancia!B31</f>
        <v>46035</v>
      </c>
      <c r="D147" s="69" t="str">
        <f>"143505"</f>
        <v>143505</v>
      </c>
      <c r="E147" s="27" t="str">
        <f>"Mercancías no fabricadas por la empresa"</f>
        <v>Mercancías no fabricadas por la empresa</v>
      </c>
      <c r="F147" s="27" t="str">
        <f ca="1">mercancia!C31</f>
        <v>Ferromax Colombia S.A.S.</v>
      </c>
      <c r="G147" s="29" t="str" cm="1">
        <f t="array" aca="1" ref="G147" ca="1">INDIRECT("mercancia!D"&amp;(INT((ROW()-2)/5)+2))</f>
        <v>901.234.567-2</v>
      </c>
      <c r="H147" s="27" t="str">
        <f>CHOOSE(MOD(29,3)+1,"CC-100 Bodega Central","CC-101 Sucursal Centro","CC-102 Sucursal Itagüí")</f>
        <v>CC-102 Sucursal Itagüí</v>
      </c>
      <c r="I147" s="27" t="str">
        <f ca="1">"Compra mercancía - "&amp;mercancia!E31&amp;" - "&amp;mercancia!A31</f>
        <v>Compra mercancía - Lámina de drywall 1.22x2.44m - FE-1030</v>
      </c>
      <c r="J147" s="30">
        <f ca="1">mercancia!H31</f>
        <v>1069000</v>
      </c>
      <c r="K147" s="30">
        <f>0</f>
        <v>0</v>
      </c>
      <c r="L147" s="31" t="str">
        <f>mercancia!A31</f>
        <v>FE-1030</v>
      </c>
    </row>
    <row r="148" spans="1:12" x14ac:dyDescent="0.35">
      <c r="A148" s="26" t="str">
        <f>"CC-MC-"&amp;TEXT(1029,"0000")</f>
        <v>CC-MC-1029</v>
      </c>
      <c r="B148" s="27" t="str">
        <f>"Causación Compra"</f>
        <v>Causación Compra</v>
      </c>
      <c r="C148" s="28">
        <f ca="1">mercancia!B31</f>
        <v>46035</v>
      </c>
      <c r="D148" s="69" t="str">
        <f>"240805"</f>
        <v>240805</v>
      </c>
      <c r="E148" s="27" t="str">
        <f>"IVA descontable - 19%"</f>
        <v>IVA descontable - 19%</v>
      </c>
      <c r="F148" s="27" t="str">
        <f ca="1">mercancia!C31</f>
        <v>Ferromax Colombia S.A.S.</v>
      </c>
      <c r="G148" s="29" t="str" cm="1">
        <f t="array" aca="1" ref="G148" ca="1">INDIRECT("mercancia!D"&amp;(INT((ROW()-2)/5)+2))</f>
        <v>901.234.567-2</v>
      </c>
      <c r="H148" s="27" t="str">
        <f>CHOOSE(MOD(29,3)+1,"CC-100 Bodega Central","CC-101 Sucursal Centro","CC-102 Sucursal Itagüí")</f>
        <v>CC-102 Sucursal Itagüí</v>
      </c>
      <c r="I148" s="27" t="str">
        <f>"IVA descontable factura "&amp;mercancia!A31</f>
        <v>IVA descontable factura FE-1030</v>
      </c>
      <c r="J148" s="30">
        <f ca="1">mercancia!I31</f>
        <v>203110</v>
      </c>
      <c r="K148" s="30">
        <f>0</f>
        <v>0</v>
      </c>
      <c r="L148" s="31" t="str">
        <f>mercancia!A31</f>
        <v>FE-1030</v>
      </c>
    </row>
    <row r="149" spans="1:12" x14ac:dyDescent="0.35">
      <c r="A149" s="26" t="str">
        <f>"CC-MC-"&amp;TEXT(1029,"0000")</f>
        <v>CC-MC-1029</v>
      </c>
      <c r="B149" s="27" t="str">
        <f>"Causación Compra"</f>
        <v>Causación Compra</v>
      </c>
      <c r="C149" s="28">
        <f ca="1">mercancia!B31</f>
        <v>46035</v>
      </c>
      <c r="D149" s="69" t="str">
        <f>"236540"</f>
        <v>236540</v>
      </c>
      <c r="E149" s="27" t="str">
        <f>"Retención en la fuente - Compras"</f>
        <v>Retención en la fuente - Compras</v>
      </c>
      <c r="F149" s="27" t="str">
        <f ca="1">mercancia!C31</f>
        <v>Ferromax Colombia S.A.S.</v>
      </c>
      <c r="G149" s="29" t="str" cm="1">
        <f t="array" aca="1" ref="G149" ca="1">INDIRECT("mercancia!D"&amp;(INT((ROW()-2)/5)+2))</f>
        <v>901.234.567-2</v>
      </c>
      <c r="H149" s="27" t="str">
        <f>CHOOSE(MOD(29,3)+1,"CC-100 Bodega Central","CC-101 Sucursal Centro","CC-102 Sucursal Itagüí")</f>
        <v>CC-102 Sucursal Itagüí</v>
      </c>
      <c r="I149" s="27" t="str">
        <f ca="1">"ReteFuente "&amp;TEXT(mercancia!K31,"0.0%")&amp;" sobre compra "&amp;mercancia!A31</f>
        <v>ReteFuente 04% sobre compra FE-1030</v>
      </c>
      <c r="J149" s="30">
        <f>0</f>
        <v>0</v>
      </c>
      <c r="K149" s="30">
        <f ca="1">mercancia!L31</f>
        <v>37415</v>
      </c>
      <c r="L149" s="31" t="str">
        <f>mercancia!A31</f>
        <v>FE-1030</v>
      </c>
    </row>
    <row r="150" spans="1:12" x14ac:dyDescent="0.35">
      <c r="A150" s="26" t="str">
        <f>"CC-MC-"&amp;TEXT(1029,"0000")</f>
        <v>CC-MC-1029</v>
      </c>
      <c r="B150" s="27" t="str">
        <f>"Causación Compra"</f>
        <v>Causación Compra</v>
      </c>
      <c r="C150" s="28">
        <f ca="1">mercancia!B31</f>
        <v>46035</v>
      </c>
      <c r="D150" s="69" t="str">
        <f>"236805"</f>
        <v>236805</v>
      </c>
      <c r="E150" s="27" t="str">
        <f>"Retención ICA - Medellín 11.04‰"</f>
        <v>Retención ICA - Medellín 11.04‰</v>
      </c>
      <c r="F150" s="27" t="str">
        <f ca="1">mercancia!C31</f>
        <v>Ferromax Colombia S.A.S.</v>
      </c>
      <c r="G150" s="29" t="str" cm="1">
        <f t="array" aca="1" ref="G150" ca="1">INDIRECT("mercancia!D"&amp;(INT((ROW()-2)/5)+2))</f>
        <v>901.234.567-2</v>
      </c>
      <c r="H150" s="27" t="str">
        <f>CHOOSE(MOD(29,3)+1,"CC-100 Bodega Central","CC-101 Sucursal Centro","CC-102 Sucursal Itagüí")</f>
        <v>CC-102 Sucursal Itagüí</v>
      </c>
      <c r="I150" s="27" t="str">
        <f>"ReteICA Medellín sobre compra "&amp;mercancia!A31</f>
        <v>ReteICA Medellín sobre compra FE-1030</v>
      </c>
      <c r="J150" s="30">
        <f>0</f>
        <v>0</v>
      </c>
      <c r="K150" s="30">
        <f ca="1">mercancia!N31</f>
        <v>11802</v>
      </c>
      <c r="L150" s="31" t="str">
        <f>mercancia!A31</f>
        <v>FE-1030</v>
      </c>
    </row>
    <row r="151" spans="1:12" x14ac:dyDescent="0.35">
      <c r="A151" s="26" t="str">
        <f>"CC-MC-"&amp;TEXT(1029,"0000")</f>
        <v>CC-MC-1029</v>
      </c>
      <c r="B151" s="27" t="str">
        <f>"Causación Compra"</f>
        <v>Causación Compra</v>
      </c>
      <c r="C151" s="28">
        <f ca="1">mercancia!B31</f>
        <v>46035</v>
      </c>
      <c r="D151" s="69" t="str">
        <f>"220505"</f>
        <v>220505</v>
      </c>
      <c r="E151" s="27" t="str">
        <f>"Proveedores nacionales"</f>
        <v>Proveedores nacionales</v>
      </c>
      <c r="F151" s="27" t="str">
        <f ca="1">mercancia!C31</f>
        <v>Ferromax Colombia S.A.S.</v>
      </c>
      <c r="G151" s="29" t="str" cm="1">
        <f t="array" aca="1" ref="G151" ca="1">INDIRECT("mercancia!D"&amp;(INT((ROW()-2)/5)+2))</f>
        <v>901.234.567-2</v>
      </c>
      <c r="H151" s="27" t="str">
        <f>CHOOSE(MOD(29,3)+1,"CC-100 Bodega Central","CC-101 Sucursal Centro","CC-102 Sucursal Itagüí")</f>
        <v>CC-102 Sucursal Itagüí</v>
      </c>
      <c r="I151" s="27" t="str">
        <f>"Cuenta por pagar proveedor - "&amp;mercancia!A31</f>
        <v>Cuenta por pagar proveedor - FE-1030</v>
      </c>
      <c r="J151" s="30">
        <f>0</f>
        <v>0</v>
      </c>
      <c r="K151" s="30">
        <f ca="1">mercancia!O31</f>
        <v>1222893</v>
      </c>
      <c r="L151" s="31" t="str">
        <f>mercancia!A31</f>
        <v>FE-1030</v>
      </c>
    </row>
    <row r="152" spans="1:12" x14ac:dyDescent="0.35">
      <c r="A152" s="20" t="str">
        <f>"CC-MC-"&amp;TEXT(1030,"0000")</f>
        <v>CC-MC-1030</v>
      </c>
      <c r="B152" s="21" t="str">
        <f>"Causación Compra"</f>
        <v>Causación Compra</v>
      </c>
      <c r="C152" s="22">
        <f ca="1">mercancia!B32</f>
        <v>46139</v>
      </c>
      <c r="D152" s="68" t="str">
        <f>"143505"</f>
        <v>143505</v>
      </c>
      <c r="E152" s="21" t="str">
        <f>"Mercancías no fabricadas por la empresa"</f>
        <v>Mercancías no fabricadas por la empresa</v>
      </c>
      <c r="F152" s="21" t="str">
        <f ca="1">mercancia!C32</f>
        <v>Herramientas Industriales Medellín S.A.S.</v>
      </c>
      <c r="G152" s="23" t="str" cm="1">
        <f t="array" aca="1" ref="G152" ca="1">INDIRECT("mercancia!D"&amp;(INT((ROW()-2)/5)+2))</f>
        <v>900.567.890-5</v>
      </c>
      <c r="H152" s="21" t="str">
        <f>CHOOSE(MOD(30,3)+1,"CC-100 Bodega Central","CC-101 Sucursal Centro","CC-102 Sucursal Itagüí")</f>
        <v>CC-100 Bodega Central</v>
      </c>
      <c r="I152" s="21" t="str">
        <f ca="1">"Compra mercancía - "&amp;mercancia!E32&amp;" - "&amp;mercancia!A32</f>
        <v>Compra mercancía - Teja eternit ondulada No. 6 - FE-1031</v>
      </c>
      <c r="J152" s="24">
        <f ca="1">mercancia!H32</f>
        <v>28998000</v>
      </c>
      <c r="K152" s="24">
        <f>0</f>
        <v>0</v>
      </c>
      <c r="L152" s="25" t="str">
        <f>mercancia!A32</f>
        <v>FE-1031</v>
      </c>
    </row>
    <row r="153" spans="1:12" x14ac:dyDescent="0.35">
      <c r="A153" s="20" t="str">
        <f>"CC-MC-"&amp;TEXT(1030,"0000")</f>
        <v>CC-MC-1030</v>
      </c>
      <c r="B153" s="21" t="str">
        <f>"Causación Compra"</f>
        <v>Causación Compra</v>
      </c>
      <c r="C153" s="22">
        <f ca="1">mercancia!B32</f>
        <v>46139</v>
      </c>
      <c r="D153" s="68" t="str">
        <f>"240805"</f>
        <v>240805</v>
      </c>
      <c r="E153" s="21" t="str">
        <f>"IVA descontable - 19%"</f>
        <v>IVA descontable - 19%</v>
      </c>
      <c r="F153" s="21" t="str">
        <f ca="1">mercancia!C32</f>
        <v>Herramientas Industriales Medellín S.A.S.</v>
      </c>
      <c r="G153" s="23" t="str" cm="1">
        <f t="array" aca="1" ref="G153" ca="1">INDIRECT("mercancia!D"&amp;(INT((ROW()-2)/5)+2))</f>
        <v>900.567.890-5</v>
      </c>
      <c r="H153" s="21" t="str">
        <f>CHOOSE(MOD(30,3)+1,"CC-100 Bodega Central","CC-101 Sucursal Centro","CC-102 Sucursal Itagüí")</f>
        <v>CC-100 Bodega Central</v>
      </c>
      <c r="I153" s="21" t="str">
        <f>"IVA descontable factura "&amp;mercancia!A32</f>
        <v>IVA descontable factura FE-1031</v>
      </c>
      <c r="J153" s="24">
        <f ca="1">mercancia!I32</f>
        <v>5509620</v>
      </c>
      <c r="K153" s="24">
        <f>0</f>
        <v>0</v>
      </c>
      <c r="L153" s="25" t="str">
        <f>mercancia!A32</f>
        <v>FE-1031</v>
      </c>
    </row>
    <row r="154" spans="1:12" x14ac:dyDescent="0.35">
      <c r="A154" s="20" t="str">
        <f>"CC-MC-"&amp;TEXT(1030,"0000")</f>
        <v>CC-MC-1030</v>
      </c>
      <c r="B154" s="21" t="str">
        <f>"Causación Compra"</f>
        <v>Causación Compra</v>
      </c>
      <c r="C154" s="22">
        <f ca="1">mercancia!B32</f>
        <v>46139</v>
      </c>
      <c r="D154" s="68" t="str">
        <f>"236540"</f>
        <v>236540</v>
      </c>
      <c r="E154" s="21" t="str">
        <f>"Retención en la fuente - Compras"</f>
        <v>Retención en la fuente - Compras</v>
      </c>
      <c r="F154" s="21" t="str">
        <f ca="1">mercancia!C32</f>
        <v>Herramientas Industriales Medellín S.A.S.</v>
      </c>
      <c r="G154" s="23" t="str" cm="1">
        <f t="array" aca="1" ref="G154" ca="1">INDIRECT("mercancia!D"&amp;(INT((ROW()-2)/5)+2))</f>
        <v>900.567.890-5</v>
      </c>
      <c r="H154" s="21" t="str">
        <f>CHOOSE(MOD(30,3)+1,"CC-100 Bodega Central","CC-101 Sucursal Centro","CC-102 Sucursal Itagüí")</f>
        <v>CC-100 Bodega Central</v>
      </c>
      <c r="I154" s="21" t="str">
        <f ca="1">"ReteFuente "&amp;TEXT(mercancia!K32,"0.0%")&amp;" sobre compra "&amp;mercancia!A32</f>
        <v>ReteFuente 04% sobre compra FE-1031</v>
      </c>
      <c r="J154" s="24">
        <f>0</f>
        <v>0</v>
      </c>
      <c r="K154" s="24">
        <f ca="1">mercancia!L32</f>
        <v>1014930</v>
      </c>
      <c r="L154" s="25" t="str">
        <f>mercancia!A32</f>
        <v>FE-1031</v>
      </c>
    </row>
    <row r="155" spans="1:12" x14ac:dyDescent="0.35">
      <c r="A155" s="20" t="str">
        <f>"CC-MC-"&amp;TEXT(1030,"0000")</f>
        <v>CC-MC-1030</v>
      </c>
      <c r="B155" s="21" t="str">
        <f>"Causación Compra"</f>
        <v>Causación Compra</v>
      </c>
      <c r="C155" s="22">
        <f ca="1">mercancia!B32</f>
        <v>46139</v>
      </c>
      <c r="D155" s="68" t="str">
        <f>"236805"</f>
        <v>236805</v>
      </c>
      <c r="E155" s="21" t="str">
        <f>"Retención ICA - Medellín 11.04‰"</f>
        <v>Retención ICA - Medellín 11.04‰</v>
      </c>
      <c r="F155" s="21" t="str">
        <f ca="1">mercancia!C32</f>
        <v>Herramientas Industriales Medellín S.A.S.</v>
      </c>
      <c r="G155" s="23" t="str" cm="1">
        <f t="array" aca="1" ref="G155" ca="1">INDIRECT("mercancia!D"&amp;(INT((ROW()-2)/5)+2))</f>
        <v>900.567.890-5</v>
      </c>
      <c r="H155" s="21" t="str">
        <f>CHOOSE(MOD(30,3)+1,"CC-100 Bodega Central","CC-101 Sucursal Centro","CC-102 Sucursal Itagüí")</f>
        <v>CC-100 Bodega Central</v>
      </c>
      <c r="I155" s="21" t="str">
        <f>"ReteICA Medellín sobre compra "&amp;mercancia!A32</f>
        <v>ReteICA Medellín sobre compra FE-1031</v>
      </c>
      <c r="J155" s="24">
        <f>0</f>
        <v>0</v>
      </c>
      <c r="K155" s="24">
        <f ca="1">mercancia!N32</f>
        <v>320138</v>
      </c>
      <c r="L155" s="25" t="str">
        <f>mercancia!A32</f>
        <v>FE-1031</v>
      </c>
    </row>
    <row r="156" spans="1:12" x14ac:dyDescent="0.35">
      <c r="A156" s="20" t="str">
        <f>"CC-MC-"&amp;TEXT(1030,"0000")</f>
        <v>CC-MC-1030</v>
      </c>
      <c r="B156" s="21" t="str">
        <f>"Causación Compra"</f>
        <v>Causación Compra</v>
      </c>
      <c r="C156" s="22">
        <f ca="1">mercancia!B32</f>
        <v>46139</v>
      </c>
      <c r="D156" s="68" t="str">
        <f>"220505"</f>
        <v>220505</v>
      </c>
      <c r="E156" s="21" t="str">
        <f>"Proveedores nacionales"</f>
        <v>Proveedores nacionales</v>
      </c>
      <c r="F156" s="21" t="str">
        <f ca="1">mercancia!C32</f>
        <v>Herramientas Industriales Medellín S.A.S.</v>
      </c>
      <c r="G156" s="23" t="str" cm="1">
        <f t="array" aca="1" ref="G156" ca="1">INDIRECT("mercancia!D"&amp;(INT((ROW()-2)/5)+2))</f>
        <v>900.567.890-5</v>
      </c>
      <c r="H156" s="21" t="str">
        <f>CHOOSE(MOD(30,3)+1,"CC-100 Bodega Central","CC-101 Sucursal Centro","CC-102 Sucursal Itagüí")</f>
        <v>CC-100 Bodega Central</v>
      </c>
      <c r="I156" s="21" t="str">
        <f>"Cuenta por pagar proveedor - "&amp;mercancia!A32</f>
        <v>Cuenta por pagar proveedor - FE-1031</v>
      </c>
      <c r="J156" s="24">
        <f>0</f>
        <v>0</v>
      </c>
      <c r="K156" s="24">
        <f ca="1">mercancia!O32</f>
        <v>33172552</v>
      </c>
      <c r="L156" s="25" t="str">
        <f>mercancia!A32</f>
        <v>FE-1031</v>
      </c>
    </row>
    <row r="157" spans="1:12" x14ac:dyDescent="0.35">
      <c r="A157" s="26" t="str">
        <f>"CC-MC-"&amp;TEXT(1031,"0000")</f>
        <v>CC-MC-1031</v>
      </c>
      <c r="B157" s="27" t="str">
        <f>"Causación Compra"</f>
        <v>Causación Compra</v>
      </c>
      <c r="C157" s="28">
        <f ca="1">mercancia!B33</f>
        <v>46041</v>
      </c>
      <c r="D157" s="69" t="str">
        <f>"143505"</f>
        <v>143505</v>
      </c>
      <c r="E157" s="27" t="str">
        <f>"Mercancías no fabricadas por la empresa"</f>
        <v>Mercancías no fabricadas por la empresa</v>
      </c>
      <c r="F157" s="27" t="str">
        <f ca="1">mercancia!C33</f>
        <v>Acabados y Construcción Poblado S.A.S.</v>
      </c>
      <c r="G157" s="29" t="str" cm="1">
        <f t="array" aca="1" ref="G157" ca="1">INDIRECT("mercancia!D"&amp;(INT((ROW()-2)/5)+2))</f>
        <v>901.567.890-5</v>
      </c>
      <c r="H157" s="27" t="str">
        <f>CHOOSE(MOD(31,3)+1,"CC-100 Bodega Central","CC-101 Sucursal Centro","CC-102 Sucursal Itagüí")</f>
        <v>CC-101 Sucursal Centro</v>
      </c>
      <c r="I157" s="27" t="str">
        <f ca="1">"Compra mercancía - "&amp;mercancia!E33&amp;" - "&amp;mercancia!A33</f>
        <v>Compra mercancía - Casco de seguridad industrial - FE-1032</v>
      </c>
      <c r="J157" s="30">
        <f ca="1">mercancia!H33</f>
        <v>6936600</v>
      </c>
      <c r="K157" s="30">
        <f>0</f>
        <v>0</v>
      </c>
      <c r="L157" s="31" t="str">
        <f>mercancia!A33</f>
        <v>FE-1032</v>
      </c>
    </row>
    <row r="158" spans="1:12" x14ac:dyDescent="0.35">
      <c r="A158" s="26" t="str">
        <f>"CC-MC-"&amp;TEXT(1031,"0000")</f>
        <v>CC-MC-1031</v>
      </c>
      <c r="B158" s="27" t="str">
        <f>"Causación Compra"</f>
        <v>Causación Compra</v>
      </c>
      <c r="C158" s="28">
        <f ca="1">mercancia!B33</f>
        <v>46041</v>
      </c>
      <c r="D158" s="69" t="str">
        <f>"240805"</f>
        <v>240805</v>
      </c>
      <c r="E158" s="27" t="str">
        <f>"IVA descontable - 19%"</f>
        <v>IVA descontable - 19%</v>
      </c>
      <c r="F158" s="27" t="str">
        <f ca="1">mercancia!C33</f>
        <v>Acabados y Construcción Poblado S.A.S.</v>
      </c>
      <c r="G158" s="29" t="str" cm="1">
        <f t="array" aca="1" ref="G158" ca="1">INDIRECT("mercancia!D"&amp;(INT((ROW()-2)/5)+2))</f>
        <v>901.567.890-5</v>
      </c>
      <c r="H158" s="27" t="str">
        <f>CHOOSE(MOD(31,3)+1,"CC-100 Bodega Central","CC-101 Sucursal Centro","CC-102 Sucursal Itagüí")</f>
        <v>CC-101 Sucursal Centro</v>
      </c>
      <c r="I158" s="27" t="str">
        <f>"IVA descontable factura "&amp;mercancia!A33</f>
        <v>IVA descontable factura FE-1032</v>
      </c>
      <c r="J158" s="30">
        <f ca="1">mercancia!I33</f>
        <v>1317954</v>
      </c>
      <c r="K158" s="30">
        <f>0</f>
        <v>0</v>
      </c>
      <c r="L158" s="31" t="str">
        <f>mercancia!A33</f>
        <v>FE-1032</v>
      </c>
    </row>
    <row r="159" spans="1:12" x14ac:dyDescent="0.35">
      <c r="A159" s="26" t="str">
        <f>"CC-MC-"&amp;TEXT(1031,"0000")</f>
        <v>CC-MC-1031</v>
      </c>
      <c r="B159" s="27" t="str">
        <f>"Causación Compra"</f>
        <v>Causación Compra</v>
      </c>
      <c r="C159" s="28">
        <f ca="1">mercancia!B33</f>
        <v>46041</v>
      </c>
      <c r="D159" s="69" t="str">
        <f>"236540"</f>
        <v>236540</v>
      </c>
      <c r="E159" s="27" t="str">
        <f>"Retención en la fuente - Compras"</f>
        <v>Retención en la fuente - Compras</v>
      </c>
      <c r="F159" s="27" t="str">
        <f ca="1">mercancia!C33</f>
        <v>Acabados y Construcción Poblado S.A.S.</v>
      </c>
      <c r="G159" s="29" t="str" cm="1">
        <f t="array" aca="1" ref="G159" ca="1">INDIRECT("mercancia!D"&amp;(INT((ROW()-2)/5)+2))</f>
        <v>901.567.890-5</v>
      </c>
      <c r="H159" s="27" t="str">
        <f>CHOOSE(MOD(31,3)+1,"CC-100 Bodega Central","CC-101 Sucursal Centro","CC-102 Sucursal Itagüí")</f>
        <v>CC-101 Sucursal Centro</v>
      </c>
      <c r="I159" s="27" t="str">
        <f ca="1">"ReteFuente "&amp;TEXT(mercancia!K33,"0.0%")&amp;" sobre compra "&amp;mercancia!A33</f>
        <v>ReteFuente 04% sobre compra FE-1032</v>
      </c>
      <c r="J159" s="30">
        <f>0</f>
        <v>0</v>
      </c>
      <c r="K159" s="30">
        <f ca="1">mercancia!L33</f>
        <v>242781</v>
      </c>
      <c r="L159" s="31" t="str">
        <f>mercancia!A33</f>
        <v>FE-1032</v>
      </c>
    </row>
    <row r="160" spans="1:12" x14ac:dyDescent="0.35">
      <c r="A160" s="26" t="str">
        <f>"CC-MC-"&amp;TEXT(1031,"0000")</f>
        <v>CC-MC-1031</v>
      </c>
      <c r="B160" s="27" t="str">
        <f>"Causación Compra"</f>
        <v>Causación Compra</v>
      </c>
      <c r="C160" s="28">
        <f ca="1">mercancia!B33</f>
        <v>46041</v>
      </c>
      <c r="D160" s="69" t="str">
        <f>"236805"</f>
        <v>236805</v>
      </c>
      <c r="E160" s="27" t="str">
        <f>"Retención ICA - Medellín 11.04‰"</f>
        <v>Retención ICA - Medellín 11.04‰</v>
      </c>
      <c r="F160" s="27" t="str">
        <f ca="1">mercancia!C33</f>
        <v>Acabados y Construcción Poblado S.A.S.</v>
      </c>
      <c r="G160" s="29" t="str" cm="1">
        <f t="array" aca="1" ref="G160" ca="1">INDIRECT("mercancia!D"&amp;(INT((ROW()-2)/5)+2))</f>
        <v>901.567.890-5</v>
      </c>
      <c r="H160" s="27" t="str">
        <f>CHOOSE(MOD(31,3)+1,"CC-100 Bodega Central","CC-101 Sucursal Centro","CC-102 Sucursal Itagüí")</f>
        <v>CC-101 Sucursal Centro</v>
      </c>
      <c r="I160" s="27" t="str">
        <f>"ReteICA Medellín sobre compra "&amp;mercancia!A33</f>
        <v>ReteICA Medellín sobre compra FE-1032</v>
      </c>
      <c r="J160" s="30">
        <f>0</f>
        <v>0</v>
      </c>
      <c r="K160" s="30">
        <f ca="1">mercancia!N33</f>
        <v>76580</v>
      </c>
      <c r="L160" s="31" t="str">
        <f>mercancia!A33</f>
        <v>FE-1032</v>
      </c>
    </row>
    <row r="161" spans="1:12" x14ac:dyDescent="0.35">
      <c r="A161" s="26" t="str">
        <f>"CC-MC-"&amp;TEXT(1031,"0000")</f>
        <v>CC-MC-1031</v>
      </c>
      <c r="B161" s="27" t="str">
        <f>"Causación Compra"</f>
        <v>Causación Compra</v>
      </c>
      <c r="C161" s="28">
        <f ca="1">mercancia!B33</f>
        <v>46041</v>
      </c>
      <c r="D161" s="69" t="str">
        <f>"220505"</f>
        <v>220505</v>
      </c>
      <c r="E161" s="27" t="str">
        <f>"Proveedores nacionales"</f>
        <v>Proveedores nacionales</v>
      </c>
      <c r="F161" s="27" t="str">
        <f ca="1">mercancia!C33</f>
        <v>Acabados y Construcción Poblado S.A.S.</v>
      </c>
      <c r="G161" s="29" t="str" cm="1">
        <f t="array" aca="1" ref="G161" ca="1">INDIRECT("mercancia!D"&amp;(INT((ROW()-2)/5)+2))</f>
        <v>901.567.890-5</v>
      </c>
      <c r="H161" s="27" t="str">
        <f>CHOOSE(MOD(31,3)+1,"CC-100 Bodega Central","CC-101 Sucursal Centro","CC-102 Sucursal Itagüí")</f>
        <v>CC-101 Sucursal Centro</v>
      </c>
      <c r="I161" s="27" t="str">
        <f>"Cuenta por pagar proveedor - "&amp;mercancia!A33</f>
        <v>Cuenta por pagar proveedor - FE-1032</v>
      </c>
      <c r="J161" s="30">
        <f>0</f>
        <v>0</v>
      </c>
      <c r="K161" s="30">
        <f ca="1">mercancia!O33</f>
        <v>7935193</v>
      </c>
      <c r="L161" s="31" t="str">
        <f>mercancia!A33</f>
        <v>FE-1032</v>
      </c>
    </row>
    <row r="162" spans="1:12" x14ac:dyDescent="0.35">
      <c r="A162" s="20" t="str">
        <f>"CC-MC-"&amp;TEXT(1032,"0000")</f>
        <v>CC-MC-1032</v>
      </c>
      <c r="B162" s="21" t="str">
        <f>"Causación Compra"</f>
        <v>Causación Compra</v>
      </c>
      <c r="C162" s="22">
        <f ca="1">mercancia!B34</f>
        <v>46110</v>
      </c>
      <c r="D162" s="68" t="str">
        <f>"143505"</f>
        <v>143505</v>
      </c>
      <c r="E162" s="21" t="str">
        <f>"Mercancías no fabricadas por la empresa"</f>
        <v>Mercancías no fabricadas por la empresa</v>
      </c>
      <c r="F162" s="21" t="str">
        <f ca="1">mercancia!C34</f>
        <v>Materiales La Estrella S.A.S.</v>
      </c>
      <c r="G162" s="23" t="str" cm="1">
        <f t="array" aca="1" ref="G162" ca="1">INDIRECT("mercancia!D"&amp;(INT((ROW()-2)/5)+2))</f>
        <v>901.345.678-3</v>
      </c>
      <c r="H162" s="21" t="str">
        <f>CHOOSE(MOD(32,3)+1,"CC-100 Bodega Central","CC-101 Sucursal Centro","CC-102 Sucursal Itagüí")</f>
        <v>CC-102 Sucursal Itagüí</v>
      </c>
      <c r="I162" s="21" t="str">
        <f ca="1">"Compra mercancía - "&amp;mercancia!E34&amp;" - "&amp;mercancia!A34</f>
        <v>Compra mercancía - Tubos y Conexiones Envigado Ltda. - FE-1033</v>
      </c>
      <c r="J162" s="24">
        <f ca="1">mercancia!H34</f>
        <v>459200</v>
      </c>
      <c r="K162" s="24">
        <f>0</f>
        <v>0</v>
      </c>
      <c r="L162" s="25" t="str">
        <f>mercancia!A34</f>
        <v>FE-1033</v>
      </c>
    </row>
    <row r="163" spans="1:12" x14ac:dyDescent="0.35">
      <c r="A163" s="20" t="str">
        <f>"CC-MC-"&amp;TEXT(1032,"0000")</f>
        <v>CC-MC-1032</v>
      </c>
      <c r="B163" s="21" t="str">
        <f>"Causación Compra"</f>
        <v>Causación Compra</v>
      </c>
      <c r="C163" s="22">
        <f ca="1">mercancia!B34</f>
        <v>46110</v>
      </c>
      <c r="D163" s="68" t="str">
        <f>"240805"</f>
        <v>240805</v>
      </c>
      <c r="E163" s="21" t="str">
        <f>"IVA descontable - 19%"</f>
        <v>IVA descontable - 19%</v>
      </c>
      <c r="F163" s="21" t="str">
        <f ca="1">mercancia!C34</f>
        <v>Materiales La Estrella S.A.S.</v>
      </c>
      <c r="G163" s="23" t="str" cm="1">
        <f t="array" aca="1" ref="G163" ca="1">INDIRECT("mercancia!D"&amp;(INT((ROW()-2)/5)+2))</f>
        <v>901.345.678-3</v>
      </c>
      <c r="H163" s="21" t="str">
        <f>CHOOSE(MOD(32,3)+1,"CC-100 Bodega Central","CC-101 Sucursal Centro","CC-102 Sucursal Itagüí")</f>
        <v>CC-102 Sucursal Itagüí</v>
      </c>
      <c r="I163" s="21" t="str">
        <f>"IVA descontable factura "&amp;mercancia!A34</f>
        <v>IVA descontable factura FE-1033</v>
      </c>
      <c r="J163" s="24">
        <f ca="1">mercancia!I34</f>
        <v>87248</v>
      </c>
      <c r="K163" s="24">
        <f>0</f>
        <v>0</v>
      </c>
      <c r="L163" s="25" t="str">
        <f>mercancia!A34</f>
        <v>FE-1033</v>
      </c>
    </row>
    <row r="164" spans="1:12" x14ac:dyDescent="0.35">
      <c r="A164" s="20" t="str">
        <f>"CC-MC-"&amp;TEXT(1032,"0000")</f>
        <v>CC-MC-1032</v>
      </c>
      <c r="B164" s="21" t="str">
        <f>"Causación Compra"</f>
        <v>Causación Compra</v>
      </c>
      <c r="C164" s="22">
        <f ca="1">mercancia!B34</f>
        <v>46110</v>
      </c>
      <c r="D164" s="68" t="str">
        <f>"236540"</f>
        <v>236540</v>
      </c>
      <c r="E164" s="21" t="str">
        <f>"Retención en la fuente - Compras"</f>
        <v>Retención en la fuente - Compras</v>
      </c>
      <c r="F164" s="21" t="str">
        <f ca="1">mercancia!C34</f>
        <v>Materiales La Estrella S.A.S.</v>
      </c>
      <c r="G164" s="23" t="str" cm="1">
        <f t="array" aca="1" ref="G164" ca="1">INDIRECT("mercancia!D"&amp;(INT((ROW()-2)/5)+2))</f>
        <v>901.345.678-3</v>
      </c>
      <c r="H164" s="21" t="str">
        <f>CHOOSE(MOD(32,3)+1,"CC-100 Bodega Central","CC-101 Sucursal Centro","CC-102 Sucursal Itagüí")</f>
        <v>CC-102 Sucursal Itagüí</v>
      </c>
      <c r="I164" s="21" t="str">
        <f ca="1">"ReteFuente "&amp;TEXT(mercancia!K34,"0.0%")&amp;" sobre compra "&amp;mercancia!A34</f>
        <v>ReteFuente 04% sobre compra FE-1033</v>
      </c>
      <c r="J164" s="24">
        <f>0</f>
        <v>0</v>
      </c>
      <c r="K164" s="24">
        <f ca="1">mercancia!L34</f>
        <v>16072</v>
      </c>
      <c r="L164" s="25" t="str">
        <f>mercancia!A34</f>
        <v>FE-1033</v>
      </c>
    </row>
    <row r="165" spans="1:12" x14ac:dyDescent="0.35">
      <c r="A165" s="20" t="str">
        <f>"CC-MC-"&amp;TEXT(1032,"0000")</f>
        <v>CC-MC-1032</v>
      </c>
      <c r="B165" s="21" t="str">
        <f>"Causación Compra"</f>
        <v>Causación Compra</v>
      </c>
      <c r="C165" s="22">
        <f ca="1">mercancia!B34</f>
        <v>46110</v>
      </c>
      <c r="D165" s="68" t="str">
        <f>"236805"</f>
        <v>236805</v>
      </c>
      <c r="E165" s="21" t="str">
        <f>"Retención ICA - Medellín 11.04‰"</f>
        <v>Retención ICA - Medellín 11.04‰</v>
      </c>
      <c r="F165" s="21" t="str">
        <f ca="1">mercancia!C34</f>
        <v>Materiales La Estrella S.A.S.</v>
      </c>
      <c r="G165" s="23" t="str" cm="1">
        <f t="array" aca="1" ref="G165" ca="1">INDIRECT("mercancia!D"&amp;(INT((ROW()-2)/5)+2))</f>
        <v>901.345.678-3</v>
      </c>
      <c r="H165" s="21" t="str">
        <f>CHOOSE(MOD(32,3)+1,"CC-100 Bodega Central","CC-101 Sucursal Centro","CC-102 Sucursal Itagüí")</f>
        <v>CC-102 Sucursal Itagüí</v>
      </c>
      <c r="I165" s="21" t="str">
        <f>"ReteICA Medellín sobre compra "&amp;mercancia!A34</f>
        <v>ReteICA Medellín sobre compra FE-1033</v>
      </c>
      <c r="J165" s="24">
        <f>0</f>
        <v>0</v>
      </c>
      <c r="K165" s="24">
        <f ca="1">mercancia!N34</f>
        <v>5070</v>
      </c>
      <c r="L165" s="25" t="str">
        <f>mercancia!A34</f>
        <v>FE-1033</v>
      </c>
    </row>
    <row r="166" spans="1:12" x14ac:dyDescent="0.35">
      <c r="A166" s="20" t="str">
        <f>"CC-MC-"&amp;TEXT(1032,"0000")</f>
        <v>CC-MC-1032</v>
      </c>
      <c r="B166" s="21" t="str">
        <f>"Causación Compra"</f>
        <v>Causación Compra</v>
      </c>
      <c r="C166" s="22">
        <f ca="1">mercancia!B34</f>
        <v>46110</v>
      </c>
      <c r="D166" s="68" t="str">
        <f>"220505"</f>
        <v>220505</v>
      </c>
      <c r="E166" s="21" t="str">
        <f>"Proveedores nacionales"</f>
        <v>Proveedores nacionales</v>
      </c>
      <c r="F166" s="21" t="str">
        <f ca="1">mercancia!C34</f>
        <v>Materiales La Estrella S.A.S.</v>
      </c>
      <c r="G166" s="23" t="str" cm="1">
        <f t="array" aca="1" ref="G166" ca="1">INDIRECT("mercancia!D"&amp;(INT((ROW()-2)/5)+2))</f>
        <v>901.345.678-3</v>
      </c>
      <c r="H166" s="21" t="str">
        <f>CHOOSE(MOD(32,3)+1,"CC-100 Bodega Central","CC-101 Sucursal Centro","CC-102 Sucursal Itagüí")</f>
        <v>CC-102 Sucursal Itagüí</v>
      </c>
      <c r="I166" s="21" t="str">
        <f>"Cuenta por pagar proveedor - "&amp;mercancia!A34</f>
        <v>Cuenta por pagar proveedor - FE-1033</v>
      </c>
      <c r="J166" s="24">
        <f>0</f>
        <v>0</v>
      </c>
      <c r="K166" s="24">
        <f ca="1">mercancia!O34</f>
        <v>525306</v>
      </c>
      <c r="L166" s="25" t="str">
        <f>mercancia!A34</f>
        <v>FE-1033</v>
      </c>
    </row>
    <row r="167" spans="1:12" x14ac:dyDescent="0.35">
      <c r="A167" s="26" t="str">
        <f>"CC-MC-"&amp;TEXT(1033,"0000")</f>
        <v>CC-MC-1033</v>
      </c>
      <c r="B167" s="27" t="str">
        <f>"Causación Compra"</f>
        <v>Causación Compra</v>
      </c>
      <c r="C167" s="28">
        <f ca="1">mercancia!B35</f>
        <v>46098</v>
      </c>
      <c r="D167" s="69" t="str">
        <f>"143505"</f>
        <v>143505</v>
      </c>
      <c r="E167" s="27" t="str">
        <f>"Mercancías no fabricadas por la empresa"</f>
        <v>Mercancías no fabricadas por la empresa</v>
      </c>
      <c r="F167" s="27" t="str">
        <f ca="1">mercancia!C35</f>
        <v>Hierros y Mallas Bello S.A.S.</v>
      </c>
      <c r="G167" s="29" t="str" cm="1">
        <f t="array" aca="1" ref="G167" ca="1">INDIRECT("mercancia!D"&amp;(INT((ROW()-2)/5)+2))</f>
        <v>900.901.234-9</v>
      </c>
      <c r="H167" s="27" t="str">
        <f>CHOOSE(MOD(33,3)+1,"CC-100 Bodega Central","CC-101 Sucursal Centro","CC-102 Sucursal Itagüí")</f>
        <v>CC-100 Bodega Central</v>
      </c>
      <c r="I167" s="27" t="str">
        <f ca="1">"Compra mercancía - "&amp;mercancia!E35&amp;" - "&amp;mercancia!A35</f>
        <v>Compra mercancía - Suministros Ferreteros La 80 Ltda. - FE-1034</v>
      </c>
      <c r="J167" s="30">
        <f ca="1">mercancia!H35</f>
        <v>8355200</v>
      </c>
      <c r="K167" s="30">
        <f>0</f>
        <v>0</v>
      </c>
      <c r="L167" s="31" t="str">
        <f>mercancia!A35</f>
        <v>FE-1034</v>
      </c>
    </row>
    <row r="168" spans="1:12" x14ac:dyDescent="0.35">
      <c r="A168" s="26" t="str">
        <f>"CC-MC-"&amp;TEXT(1033,"0000")</f>
        <v>CC-MC-1033</v>
      </c>
      <c r="B168" s="27" t="str">
        <f>"Causación Compra"</f>
        <v>Causación Compra</v>
      </c>
      <c r="C168" s="28">
        <f ca="1">mercancia!B35</f>
        <v>46098</v>
      </c>
      <c r="D168" s="69" t="str">
        <f>"240805"</f>
        <v>240805</v>
      </c>
      <c r="E168" s="27" t="str">
        <f>"IVA descontable - 19%"</f>
        <v>IVA descontable - 19%</v>
      </c>
      <c r="F168" s="27" t="str">
        <f ca="1">mercancia!C35</f>
        <v>Hierros y Mallas Bello S.A.S.</v>
      </c>
      <c r="G168" s="29" t="str" cm="1">
        <f t="array" aca="1" ref="G168" ca="1">INDIRECT("mercancia!D"&amp;(INT((ROW()-2)/5)+2))</f>
        <v>900.901.234-9</v>
      </c>
      <c r="H168" s="27" t="str">
        <f>CHOOSE(MOD(33,3)+1,"CC-100 Bodega Central","CC-101 Sucursal Centro","CC-102 Sucursal Itagüí")</f>
        <v>CC-100 Bodega Central</v>
      </c>
      <c r="I168" s="27" t="str">
        <f>"IVA descontable factura "&amp;mercancia!A35</f>
        <v>IVA descontable factura FE-1034</v>
      </c>
      <c r="J168" s="30">
        <f ca="1">mercancia!I35</f>
        <v>1587488</v>
      </c>
      <c r="K168" s="30">
        <f>0</f>
        <v>0</v>
      </c>
      <c r="L168" s="31" t="str">
        <f>mercancia!A35</f>
        <v>FE-1034</v>
      </c>
    </row>
    <row r="169" spans="1:12" x14ac:dyDescent="0.35">
      <c r="A169" s="26" t="str">
        <f>"CC-MC-"&amp;TEXT(1033,"0000")</f>
        <v>CC-MC-1033</v>
      </c>
      <c r="B169" s="27" t="str">
        <f>"Causación Compra"</f>
        <v>Causación Compra</v>
      </c>
      <c r="C169" s="28">
        <f ca="1">mercancia!B35</f>
        <v>46098</v>
      </c>
      <c r="D169" s="69" t="str">
        <f>"236540"</f>
        <v>236540</v>
      </c>
      <c r="E169" s="27" t="str">
        <f>"Retención en la fuente - Compras"</f>
        <v>Retención en la fuente - Compras</v>
      </c>
      <c r="F169" s="27" t="str">
        <f ca="1">mercancia!C35</f>
        <v>Hierros y Mallas Bello S.A.S.</v>
      </c>
      <c r="G169" s="29" t="str" cm="1">
        <f t="array" aca="1" ref="G169" ca="1">INDIRECT("mercancia!D"&amp;(INT((ROW()-2)/5)+2))</f>
        <v>900.901.234-9</v>
      </c>
      <c r="H169" s="27" t="str">
        <f>CHOOSE(MOD(33,3)+1,"CC-100 Bodega Central","CC-101 Sucursal Centro","CC-102 Sucursal Itagüí")</f>
        <v>CC-100 Bodega Central</v>
      </c>
      <c r="I169" s="27" t="str">
        <f ca="1">"ReteFuente "&amp;TEXT(mercancia!K35,"0.0%")&amp;" sobre compra "&amp;mercancia!A35</f>
        <v>ReteFuente 03% sobre compra FE-1034</v>
      </c>
      <c r="J169" s="30">
        <f>0</f>
        <v>0</v>
      </c>
      <c r="K169" s="30">
        <f ca="1">mercancia!L35</f>
        <v>208880</v>
      </c>
      <c r="L169" s="31" t="str">
        <f>mercancia!A35</f>
        <v>FE-1034</v>
      </c>
    </row>
    <row r="170" spans="1:12" x14ac:dyDescent="0.35">
      <c r="A170" s="26" t="str">
        <f>"CC-MC-"&amp;TEXT(1033,"0000")</f>
        <v>CC-MC-1033</v>
      </c>
      <c r="B170" s="27" t="str">
        <f>"Causación Compra"</f>
        <v>Causación Compra</v>
      </c>
      <c r="C170" s="28">
        <f ca="1">mercancia!B35</f>
        <v>46098</v>
      </c>
      <c r="D170" s="69" t="str">
        <f>"236805"</f>
        <v>236805</v>
      </c>
      <c r="E170" s="27" t="str">
        <f>"Retención ICA - Medellín 11.04‰"</f>
        <v>Retención ICA - Medellín 11.04‰</v>
      </c>
      <c r="F170" s="27" t="str">
        <f ca="1">mercancia!C35</f>
        <v>Hierros y Mallas Bello S.A.S.</v>
      </c>
      <c r="G170" s="29" t="str" cm="1">
        <f t="array" aca="1" ref="G170" ca="1">INDIRECT("mercancia!D"&amp;(INT((ROW()-2)/5)+2))</f>
        <v>900.901.234-9</v>
      </c>
      <c r="H170" s="27" t="str">
        <f>CHOOSE(MOD(33,3)+1,"CC-100 Bodega Central","CC-101 Sucursal Centro","CC-102 Sucursal Itagüí")</f>
        <v>CC-100 Bodega Central</v>
      </c>
      <c r="I170" s="27" t="str">
        <f>"ReteICA Medellín sobre compra "&amp;mercancia!A35</f>
        <v>ReteICA Medellín sobre compra FE-1034</v>
      </c>
      <c r="J170" s="30">
        <f>0</f>
        <v>0</v>
      </c>
      <c r="K170" s="30">
        <f ca="1">mercancia!N35</f>
        <v>92241</v>
      </c>
      <c r="L170" s="31" t="str">
        <f>mercancia!A35</f>
        <v>FE-1034</v>
      </c>
    </row>
    <row r="171" spans="1:12" x14ac:dyDescent="0.35">
      <c r="A171" s="26" t="str">
        <f>"CC-MC-"&amp;TEXT(1033,"0000")</f>
        <v>CC-MC-1033</v>
      </c>
      <c r="B171" s="27" t="str">
        <f>"Causación Compra"</f>
        <v>Causación Compra</v>
      </c>
      <c r="C171" s="28">
        <f ca="1">mercancia!B35</f>
        <v>46098</v>
      </c>
      <c r="D171" s="69" t="str">
        <f>"220505"</f>
        <v>220505</v>
      </c>
      <c r="E171" s="27" t="str">
        <f>"Proveedores nacionales"</f>
        <v>Proveedores nacionales</v>
      </c>
      <c r="F171" s="27" t="str">
        <f ca="1">mercancia!C35</f>
        <v>Hierros y Mallas Bello S.A.S.</v>
      </c>
      <c r="G171" s="29" t="str" cm="1">
        <f t="array" aca="1" ref="G171" ca="1">INDIRECT("mercancia!D"&amp;(INT((ROW()-2)/5)+2))</f>
        <v>900.901.234-9</v>
      </c>
      <c r="H171" s="27" t="str">
        <f>CHOOSE(MOD(33,3)+1,"CC-100 Bodega Central","CC-101 Sucursal Centro","CC-102 Sucursal Itagüí")</f>
        <v>CC-100 Bodega Central</v>
      </c>
      <c r="I171" s="27" t="str">
        <f>"Cuenta por pagar proveedor - "&amp;mercancia!A35</f>
        <v>Cuenta por pagar proveedor - FE-1034</v>
      </c>
      <c r="J171" s="30">
        <f>0</f>
        <v>0</v>
      </c>
      <c r="K171" s="30">
        <f ca="1">mercancia!O35</f>
        <v>9641567</v>
      </c>
      <c r="L171" s="31" t="str">
        <f>mercancia!A35</f>
        <v>FE-1034</v>
      </c>
    </row>
    <row r="172" spans="1:12" x14ac:dyDescent="0.35">
      <c r="A172" s="20" t="str">
        <f>"CC-MC-"&amp;TEXT(1034,"0000")</f>
        <v>CC-MC-1034</v>
      </c>
      <c r="B172" s="21" t="str">
        <f>"Causación Compra"</f>
        <v>Causación Compra</v>
      </c>
      <c r="C172" s="22">
        <f ca="1">mercancia!B36</f>
        <v>46031</v>
      </c>
      <c r="D172" s="68" t="str">
        <f>"143505"</f>
        <v>143505</v>
      </c>
      <c r="E172" s="21" t="str">
        <f>"Mercancías no fabricadas por la empresa"</f>
        <v>Mercancías no fabricadas por la empresa</v>
      </c>
      <c r="F172" s="21" t="str">
        <f ca="1">mercancia!C36</f>
        <v>Tubos y Conexiones Envigado Ltda.</v>
      </c>
      <c r="G172" s="23" t="str" cm="1">
        <f t="array" aca="1" ref="G172" ca="1">INDIRECT("mercancia!D"&amp;(INT((ROW()-2)/5)+2))</f>
        <v>901.012.345-0</v>
      </c>
      <c r="H172" s="21" t="str">
        <f>CHOOSE(MOD(34,3)+1,"CC-100 Bodega Central","CC-101 Sucursal Centro","CC-102 Sucursal Itagüí")</f>
        <v>CC-101 Sucursal Centro</v>
      </c>
      <c r="I172" s="21" t="str">
        <f ca="1">"Compra mercancía - "&amp;mercancia!E36&amp;" - "&amp;mercancia!A36</f>
        <v>Compra mercancía - Ferretería Antioqueña Ltda. - FE-1035</v>
      </c>
      <c r="J172" s="24">
        <f ca="1">mercancia!H36</f>
        <v>28670400</v>
      </c>
      <c r="K172" s="24">
        <f>0</f>
        <v>0</v>
      </c>
      <c r="L172" s="25" t="str">
        <f>mercancia!A36</f>
        <v>FE-1035</v>
      </c>
    </row>
    <row r="173" spans="1:12" x14ac:dyDescent="0.35">
      <c r="A173" s="20" t="str">
        <f>"CC-MC-"&amp;TEXT(1034,"0000")</f>
        <v>CC-MC-1034</v>
      </c>
      <c r="B173" s="21" t="str">
        <f>"Causación Compra"</f>
        <v>Causación Compra</v>
      </c>
      <c r="C173" s="22">
        <f ca="1">mercancia!B36</f>
        <v>46031</v>
      </c>
      <c r="D173" s="68" t="str">
        <f>"240805"</f>
        <v>240805</v>
      </c>
      <c r="E173" s="21" t="str">
        <f>"IVA descontable - 19%"</f>
        <v>IVA descontable - 19%</v>
      </c>
      <c r="F173" s="21" t="str">
        <f ca="1">mercancia!C36</f>
        <v>Tubos y Conexiones Envigado Ltda.</v>
      </c>
      <c r="G173" s="23" t="str" cm="1">
        <f t="array" aca="1" ref="G173" ca="1">INDIRECT("mercancia!D"&amp;(INT((ROW()-2)/5)+2))</f>
        <v>901.012.345-0</v>
      </c>
      <c r="H173" s="21" t="str">
        <f>CHOOSE(MOD(34,3)+1,"CC-100 Bodega Central","CC-101 Sucursal Centro","CC-102 Sucursal Itagüí")</f>
        <v>CC-101 Sucursal Centro</v>
      </c>
      <c r="I173" s="21" t="str">
        <f>"IVA descontable factura "&amp;mercancia!A36</f>
        <v>IVA descontable factura FE-1035</v>
      </c>
      <c r="J173" s="24">
        <f ca="1">mercancia!I36</f>
        <v>5447376</v>
      </c>
      <c r="K173" s="24">
        <f>0</f>
        <v>0</v>
      </c>
      <c r="L173" s="25" t="str">
        <f>mercancia!A36</f>
        <v>FE-1035</v>
      </c>
    </row>
    <row r="174" spans="1:12" x14ac:dyDescent="0.35">
      <c r="A174" s="20" t="str">
        <f>"CC-MC-"&amp;TEXT(1034,"0000")</f>
        <v>CC-MC-1034</v>
      </c>
      <c r="B174" s="21" t="str">
        <f>"Causación Compra"</f>
        <v>Causación Compra</v>
      </c>
      <c r="C174" s="22">
        <f ca="1">mercancia!B36</f>
        <v>46031</v>
      </c>
      <c r="D174" s="68" t="str">
        <f>"236540"</f>
        <v>236540</v>
      </c>
      <c r="E174" s="21" t="str">
        <f>"Retención en la fuente - Compras"</f>
        <v>Retención en la fuente - Compras</v>
      </c>
      <c r="F174" s="21" t="str">
        <f ca="1">mercancia!C36</f>
        <v>Tubos y Conexiones Envigado Ltda.</v>
      </c>
      <c r="G174" s="23" t="str" cm="1">
        <f t="array" aca="1" ref="G174" ca="1">INDIRECT("mercancia!D"&amp;(INT((ROW()-2)/5)+2))</f>
        <v>901.012.345-0</v>
      </c>
      <c r="H174" s="21" t="str">
        <f>CHOOSE(MOD(34,3)+1,"CC-100 Bodega Central","CC-101 Sucursal Centro","CC-102 Sucursal Itagüí")</f>
        <v>CC-101 Sucursal Centro</v>
      </c>
      <c r="I174" s="21" t="str">
        <f ca="1">"ReteFuente "&amp;TEXT(mercancia!K36,"0.0%")&amp;" sobre compra "&amp;mercancia!A36</f>
        <v>ReteFuente 03% sobre compra FE-1035</v>
      </c>
      <c r="J174" s="24">
        <f>0</f>
        <v>0</v>
      </c>
      <c r="K174" s="24">
        <f ca="1">mercancia!L36</f>
        <v>716760</v>
      </c>
      <c r="L174" s="25" t="str">
        <f>mercancia!A36</f>
        <v>FE-1035</v>
      </c>
    </row>
    <row r="175" spans="1:12" x14ac:dyDescent="0.35">
      <c r="A175" s="20" t="str">
        <f>"CC-MC-"&amp;TEXT(1034,"0000")</f>
        <v>CC-MC-1034</v>
      </c>
      <c r="B175" s="21" t="str">
        <f>"Causación Compra"</f>
        <v>Causación Compra</v>
      </c>
      <c r="C175" s="22">
        <f ca="1">mercancia!B36</f>
        <v>46031</v>
      </c>
      <c r="D175" s="68" t="str">
        <f>"236805"</f>
        <v>236805</v>
      </c>
      <c r="E175" s="21" t="str">
        <f>"Retención ICA - Medellín 11.04‰"</f>
        <v>Retención ICA - Medellín 11.04‰</v>
      </c>
      <c r="F175" s="21" t="str">
        <f ca="1">mercancia!C36</f>
        <v>Tubos y Conexiones Envigado Ltda.</v>
      </c>
      <c r="G175" s="23" t="str" cm="1">
        <f t="array" aca="1" ref="G175" ca="1">INDIRECT("mercancia!D"&amp;(INT((ROW()-2)/5)+2))</f>
        <v>901.012.345-0</v>
      </c>
      <c r="H175" s="21" t="str">
        <f>CHOOSE(MOD(34,3)+1,"CC-100 Bodega Central","CC-101 Sucursal Centro","CC-102 Sucursal Itagüí")</f>
        <v>CC-101 Sucursal Centro</v>
      </c>
      <c r="I175" s="21" t="str">
        <f>"ReteICA Medellín sobre compra "&amp;mercancia!A36</f>
        <v>ReteICA Medellín sobre compra FE-1035</v>
      </c>
      <c r="J175" s="24">
        <f>0</f>
        <v>0</v>
      </c>
      <c r="K175" s="24">
        <f ca="1">mercancia!N36</f>
        <v>316521</v>
      </c>
      <c r="L175" s="25" t="str">
        <f>mercancia!A36</f>
        <v>FE-1035</v>
      </c>
    </row>
    <row r="176" spans="1:12" x14ac:dyDescent="0.35">
      <c r="A176" s="20" t="str">
        <f>"CC-MC-"&amp;TEXT(1034,"0000")</f>
        <v>CC-MC-1034</v>
      </c>
      <c r="B176" s="21" t="str">
        <f>"Causación Compra"</f>
        <v>Causación Compra</v>
      </c>
      <c r="C176" s="22">
        <f ca="1">mercancia!B36</f>
        <v>46031</v>
      </c>
      <c r="D176" s="68" t="str">
        <f>"220505"</f>
        <v>220505</v>
      </c>
      <c r="E176" s="21" t="str">
        <f>"Proveedores nacionales"</f>
        <v>Proveedores nacionales</v>
      </c>
      <c r="F176" s="21" t="str">
        <f ca="1">mercancia!C36</f>
        <v>Tubos y Conexiones Envigado Ltda.</v>
      </c>
      <c r="G176" s="23" t="str" cm="1">
        <f t="array" aca="1" ref="G176" ca="1">INDIRECT("mercancia!D"&amp;(INT((ROW()-2)/5)+2))</f>
        <v>901.012.345-0</v>
      </c>
      <c r="H176" s="21" t="str">
        <f>CHOOSE(MOD(34,3)+1,"CC-100 Bodega Central","CC-101 Sucursal Centro","CC-102 Sucursal Itagüí")</f>
        <v>CC-101 Sucursal Centro</v>
      </c>
      <c r="I176" s="21" t="str">
        <f>"Cuenta por pagar proveedor - "&amp;mercancia!A36</f>
        <v>Cuenta por pagar proveedor - FE-1035</v>
      </c>
      <c r="J176" s="24">
        <f>0</f>
        <v>0</v>
      </c>
      <c r="K176" s="24">
        <f ca="1">mercancia!O36</f>
        <v>33084495</v>
      </c>
      <c r="L176" s="25" t="str">
        <f>mercancia!A36</f>
        <v>FE-1035</v>
      </c>
    </row>
    <row r="177" spans="1:12" x14ac:dyDescent="0.35">
      <c r="A177" s="26" t="str">
        <f>"CC-MC-"&amp;TEXT(1035,"0000")</f>
        <v>CC-MC-1035</v>
      </c>
      <c r="B177" s="27" t="str">
        <f>"Causación Compra"</f>
        <v>Causación Compra</v>
      </c>
      <c r="C177" s="28">
        <f ca="1">mercancia!B37</f>
        <v>46136</v>
      </c>
      <c r="D177" s="69" t="str">
        <f>"143505"</f>
        <v>143505</v>
      </c>
      <c r="E177" s="27" t="str">
        <f>"Mercancías no fabricadas por la empresa"</f>
        <v>Mercancías no fabricadas por la empresa</v>
      </c>
      <c r="F177" s="27" t="str">
        <f ca="1">mercancia!C37</f>
        <v>Ferromax Colombia S.A.S.</v>
      </c>
      <c r="G177" s="29" t="str" cm="1">
        <f t="array" aca="1" ref="G177" ca="1">INDIRECT("mercancia!D"&amp;(INT((ROW()-2)/5)+2))</f>
        <v>901.234.567-2</v>
      </c>
      <c r="H177" s="27" t="str">
        <f>CHOOSE(MOD(35,3)+1,"CC-100 Bodega Central","CC-101 Sucursal Centro","CC-102 Sucursal Itagüí")</f>
        <v>CC-102 Sucursal Itagüí</v>
      </c>
      <c r="I177" s="27" t="str">
        <f ca="1">"Compra mercancía - "&amp;mercancia!E37&amp;" - "&amp;mercancia!A37</f>
        <v>Compra mercancía - Acabados y Construcción Poblado S.A.S. - FE-1036</v>
      </c>
      <c r="J177" s="30">
        <f ca="1">mercancia!H37</f>
        <v>3624500</v>
      </c>
      <c r="K177" s="30">
        <f>0</f>
        <v>0</v>
      </c>
      <c r="L177" s="31" t="str">
        <f>mercancia!A37</f>
        <v>FE-1036</v>
      </c>
    </row>
    <row r="178" spans="1:12" x14ac:dyDescent="0.35">
      <c r="A178" s="26" t="str">
        <f>"CC-MC-"&amp;TEXT(1035,"0000")</f>
        <v>CC-MC-1035</v>
      </c>
      <c r="B178" s="27" t="str">
        <f>"Causación Compra"</f>
        <v>Causación Compra</v>
      </c>
      <c r="C178" s="28">
        <f ca="1">mercancia!B37</f>
        <v>46136</v>
      </c>
      <c r="D178" s="69" t="str">
        <f>"240805"</f>
        <v>240805</v>
      </c>
      <c r="E178" s="27" t="str">
        <f>"IVA descontable - 19%"</f>
        <v>IVA descontable - 19%</v>
      </c>
      <c r="F178" s="27" t="str">
        <f ca="1">mercancia!C37</f>
        <v>Ferromax Colombia S.A.S.</v>
      </c>
      <c r="G178" s="29" t="str" cm="1">
        <f t="array" aca="1" ref="G178" ca="1">INDIRECT("mercancia!D"&amp;(INT((ROW()-2)/5)+2))</f>
        <v>901.234.567-2</v>
      </c>
      <c r="H178" s="27" t="str">
        <f>CHOOSE(MOD(35,3)+1,"CC-100 Bodega Central","CC-101 Sucursal Centro","CC-102 Sucursal Itagüí")</f>
        <v>CC-102 Sucursal Itagüí</v>
      </c>
      <c r="I178" s="27" t="str">
        <f>"IVA descontable factura "&amp;mercancia!A37</f>
        <v>IVA descontable factura FE-1036</v>
      </c>
      <c r="J178" s="30">
        <f ca="1">mercancia!I37</f>
        <v>688655</v>
      </c>
      <c r="K178" s="30">
        <f>0</f>
        <v>0</v>
      </c>
      <c r="L178" s="31" t="str">
        <f>mercancia!A37</f>
        <v>FE-1036</v>
      </c>
    </row>
    <row r="179" spans="1:12" x14ac:dyDescent="0.35">
      <c r="A179" s="26" t="str">
        <f>"CC-MC-"&amp;TEXT(1035,"0000")</f>
        <v>CC-MC-1035</v>
      </c>
      <c r="B179" s="27" t="str">
        <f>"Causación Compra"</f>
        <v>Causación Compra</v>
      </c>
      <c r="C179" s="28">
        <f ca="1">mercancia!B37</f>
        <v>46136</v>
      </c>
      <c r="D179" s="69" t="str">
        <f>"236540"</f>
        <v>236540</v>
      </c>
      <c r="E179" s="27" t="str">
        <f>"Retención en la fuente - Compras"</f>
        <v>Retención en la fuente - Compras</v>
      </c>
      <c r="F179" s="27" t="str">
        <f ca="1">mercancia!C37</f>
        <v>Ferromax Colombia S.A.S.</v>
      </c>
      <c r="G179" s="29" t="str" cm="1">
        <f t="array" aca="1" ref="G179" ca="1">INDIRECT("mercancia!D"&amp;(INT((ROW()-2)/5)+2))</f>
        <v>901.234.567-2</v>
      </c>
      <c r="H179" s="27" t="str">
        <f>CHOOSE(MOD(35,3)+1,"CC-100 Bodega Central","CC-101 Sucursal Centro","CC-102 Sucursal Itagüí")</f>
        <v>CC-102 Sucursal Itagüí</v>
      </c>
      <c r="I179" s="27" t="str">
        <f ca="1">"ReteFuente "&amp;TEXT(mercancia!K37,"0.0%")&amp;" sobre compra "&amp;mercancia!A37</f>
        <v>ReteFuente 03% sobre compra FE-1036</v>
      </c>
      <c r="J179" s="30">
        <f>0</f>
        <v>0</v>
      </c>
      <c r="K179" s="30">
        <f ca="1">mercancia!L37</f>
        <v>90613</v>
      </c>
      <c r="L179" s="31" t="str">
        <f>mercancia!A37</f>
        <v>FE-1036</v>
      </c>
    </row>
    <row r="180" spans="1:12" x14ac:dyDescent="0.35">
      <c r="A180" s="26" t="str">
        <f>"CC-MC-"&amp;TEXT(1035,"0000")</f>
        <v>CC-MC-1035</v>
      </c>
      <c r="B180" s="27" t="str">
        <f>"Causación Compra"</f>
        <v>Causación Compra</v>
      </c>
      <c r="C180" s="28">
        <f ca="1">mercancia!B37</f>
        <v>46136</v>
      </c>
      <c r="D180" s="69" t="str">
        <f>"236805"</f>
        <v>236805</v>
      </c>
      <c r="E180" s="27" t="str">
        <f>"Retención ICA - Medellín 11.04‰"</f>
        <v>Retención ICA - Medellín 11.04‰</v>
      </c>
      <c r="F180" s="27" t="str">
        <f ca="1">mercancia!C37</f>
        <v>Ferromax Colombia S.A.S.</v>
      </c>
      <c r="G180" s="29" t="str" cm="1">
        <f t="array" aca="1" ref="G180" ca="1">INDIRECT("mercancia!D"&amp;(INT((ROW()-2)/5)+2))</f>
        <v>901.234.567-2</v>
      </c>
      <c r="H180" s="27" t="str">
        <f>CHOOSE(MOD(35,3)+1,"CC-100 Bodega Central","CC-101 Sucursal Centro","CC-102 Sucursal Itagüí")</f>
        <v>CC-102 Sucursal Itagüí</v>
      </c>
      <c r="I180" s="27" t="str">
        <f>"ReteICA Medellín sobre compra "&amp;mercancia!A37</f>
        <v>ReteICA Medellín sobre compra FE-1036</v>
      </c>
      <c r="J180" s="30">
        <f>0</f>
        <v>0</v>
      </c>
      <c r="K180" s="30">
        <f ca="1">mercancia!N37</f>
        <v>40014</v>
      </c>
      <c r="L180" s="31" t="str">
        <f>mercancia!A37</f>
        <v>FE-1036</v>
      </c>
    </row>
    <row r="181" spans="1:12" x14ac:dyDescent="0.35">
      <c r="A181" s="26" t="str">
        <f>"CC-MC-"&amp;TEXT(1035,"0000")</f>
        <v>CC-MC-1035</v>
      </c>
      <c r="B181" s="27" t="str">
        <f>"Causación Compra"</f>
        <v>Causación Compra</v>
      </c>
      <c r="C181" s="28">
        <f ca="1">mercancia!B37</f>
        <v>46136</v>
      </c>
      <c r="D181" s="69" t="str">
        <f>"220505"</f>
        <v>220505</v>
      </c>
      <c r="E181" s="27" t="str">
        <f>"Proveedores nacionales"</f>
        <v>Proveedores nacionales</v>
      </c>
      <c r="F181" s="27" t="str">
        <f ca="1">mercancia!C37</f>
        <v>Ferromax Colombia S.A.S.</v>
      </c>
      <c r="G181" s="29" t="str" cm="1">
        <f t="array" aca="1" ref="G181" ca="1">INDIRECT("mercancia!D"&amp;(INT((ROW()-2)/5)+2))</f>
        <v>901.234.567-2</v>
      </c>
      <c r="H181" s="27" t="str">
        <f>CHOOSE(MOD(35,3)+1,"CC-100 Bodega Central","CC-101 Sucursal Centro","CC-102 Sucursal Itagüí")</f>
        <v>CC-102 Sucursal Itagüí</v>
      </c>
      <c r="I181" s="27" t="str">
        <f>"Cuenta por pagar proveedor - "&amp;mercancia!A37</f>
        <v>Cuenta por pagar proveedor - FE-1036</v>
      </c>
      <c r="J181" s="30">
        <f>0</f>
        <v>0</v>
      </c>
      <c r="K181" s="30">
        <f ca="1">mercancia!O37</f>
        <v>4182528</v>
      </c>
      <c r="L181" s="31" t="str">
        <f>mercancia!A37</f>
        <v>FE-1036</v>
      </c>
    </row>
    <row r="182" spans="1:12" x14ac:dyDescent="0.35">
      <c r="A182" s="20" t="str">
        <f>"CC-MC-"&amp;TEXT(1036,"0000")</f>
        <v>CC-MC-1036</v>
      </c>
      <c r="B182" s="21" t="str">
        <f>"Causación Compra"</f>
        <v>Causación Compra</v>
      </c>
      <c r="C182" s="22">
        <f ca="1">mercancia!B38</f>
        <v>46109</v>
      </c>
      <c r="D182" s="68" t="str">
        <f>"143505"</f>
        <v>143505</v>
      </c>
      <c r="E182" s="21" t="str">
        <f>"Mercancías no fabricadas por la empresa"</f>
        <v>Mercancías no fabricadas por la empresa</v>
      </c>
      <c r="F182" s="21" t="str">
        <f ca="1">mercancia!C38</f>
        <v>Ferromax Colombia S.A.S.</v>
      </c>
      <c r="G182" s="23" t="str" cm="1">
        <f t="array" aca="1" ref="G182" ca="1">INDIRECT("mercancia!D"&amp;(INT((ROW()-2)/5)+2))</f>
        <v>901.234.567-2</v>
      </c>
      <c r="H182" s="21" t="str">
        <f>CHOOSE(MOD(36,3)+1,"CC-100 Bodega Central","CC-101 Sucursal Centro","CC-102 Sucursal Itagüí")</f>
        <v>CC-100 Bodega Central</v>
      </c>
      <c r="I182" s="21" t="str">
        <f ca="1">"Compra mercancía - "&amp;mercancia!E38&amp;" - "&amp;mercancia!A38</f>
        <v>Compra mercancía - El Constructor S.A.S. - FE-1037</v>
      </c>
      <c r="J182" s="24">
        <f ca="1">mercancia!H38</f>
        <v>25795000</v>
      </c>
      <c r="K182" s="24">
        <f>0</f>
        <v>0</v>
      </c>
      <c r="L182" s="25" t="str">
        <f>mercancia!A38</f>
        <v>FE-1037</v>
      </c>
    </row>
    <row r="183" spans="1:12" x14ac:dyDescent="0.35">
      <c r="A183" s="20" t="str">
        <f>"CC-MC-"&amp;TEXT(1036,"0000")</f>
        <v>CC-MC-1036</v>
      </c>
      <c r="B183" s="21" t="str">
        <f>"Causación Compra"</f>
        <v>Causación Compra</v>
      </c>
      <c r="C183" s="22">
        <f ca="1">mercancia!B38</f>
        <v>46109</v>
      </c>
      <c r="D183" s="68" t="str">
        <f>"240805"</f>
        <v>240805</v>
      </c>
      <c r="E183" s="21" t="str">
        <f>"IVA descontable - 19%"</f>
        <v>IVA descontable - 19%</v>
      </c>
      <c r="F183" s="21" t="str">
        <f ca="1">mercancia!C38</f>
        <v>Ferromax Colombia S.A.S.</v>
      </c>
      <c r="G183" s="23" t="str" cm="1">
        <f t="array" aca="1" ref="G183" ca="1">INDIRECT("mercancia!D"&amp;(INT((ROW()-2)/5)+2))</f>
        <v>901.234.567-2</v>
      </c>
      <c r="H183" s="21" t="str">
        <f>CHOOSE(MOD(36,3)+1,"CC-100 Bodega Central","CC-101 Sucursal Centro","CC-102 Sucursal Itagüí")</f>
        <v>CC-100 Bodega Central</v>
      </c>
      <c r="I183" s="21" t="str">
        <f>"IVA descontable factura "&amp;mercancia!A38</f>
        <v>IVA descontable factura FE-1037</v>
      </c>
      <c r="J183" s="24">
        <f ca="1">mercancia!I38</f>
        <v>4901050</v>
      </c>
      <c r="K183" s="24">
        <f>0</f>
        <v>0</v>
      </c>
      <c r="L183" s="25" t="str">
        <f>mercancia!A38</f>
        <v>FE-1037</v>
      </c>
    </row>
    <row r="184" spans="1:12" x14ac:dyDescent="0.35">
      <c r="A184" s="20" t="str">
        <f>"CC-MC-"&amp;TEXT(1036,"0000")</f>
        <v>CC-MC-1036</v>
      </c>
      <c r="B184" s="21" t="str">
        <f>"Causación Compra"</f>
        <v>Causación Compra</v>
      </c>
      <c r="C184" s="22">
        <f ca="1">mercancia!B38</f>
        <v>46109</v>
      </c>
      <c r="D184" s="68" t="str">
        <f>"236540"</f>
        <v>236540</v>
      </c>
      <c r="E184" s="21" t="str">
        <f>"Retención en la fuente - Compras"</f>
        <v>Retención en la fuente - Compras</v>
      </c>
      <c r="F184" s="21" t="str">
        <f ca="1">mercancia!C38</f>
        <v>Ferromax Colombia S.A.S.</v>
      </c>
      <c r="G184" s="23" t="str" cm="1">
        <f t="array" aca="1" ref="G184" ca="1">INDIRECT("mercancia!D"&amp;(INT((ROW()-2)/5)+2))</f>
        <v>901.234.567-2</v>
      </c>
      <c r="H184" s="21" t="str">
        <f>CHOOSE(MOD(36,3)+1,"CC-100 Bodega Central","CC-101 Sucursal Centro","CC-102 Sucursal Itagüí")</f>
        <v>CC-100 Bodega Central</v>
      </c>
      <c r="I184" s="21" t="str">
        <f ca="1">"ReteFuente "&amp;TEXT(mercancia!K38,"0.0%")&amp;" sobre compra "&amp;mercancia!A38</f>
        <v>ReteFuente 03% sobre compra FE-1037</v>
      </c>
      <c r="J184" s="24">
        <f>0</f>
        <v>0</v>
      </c>
      <c r="K184" s="24">
        <f ca="1">mercancia!L38</f>
        <v>644875</v>
      </c>
      <c r="L184" s="25" t="str">
        <f>mercancia!A38</f>
        <v>FE-1037</v>
      </c>
    </row>
    <row r="185" spans="1:12" x14ac:dyDescent="0.35">
      <c r="A185" s="20" t="str">
        <f>"CC-MC-"&amp;TEXT(1036,"0000")</f>
        <v>CC-MC-1036</v>
      </c>
      <c r="B185" s="21" t="str">
        <f>"Causación Compra"</f>
        <v>Causación Compra</v>
      </c>
      <c r="C185" s="22">
        <f ca="1">mercancia!B38</f>
        <v>46109</v>
      </c>
      <c r="D185" s="68" t="str">
        <f>"236805"</f>
        <v>236805</v>
      </c>
      <c r="E185" s="21" t="str">
        <f>"Retención ICA - Medellín 11.04‰"</f>
        <v>Retención ICA - Medellín 11.04‰</v>
      </c>
      <c r="F185" s="21" t="str">
        <f ca="1">mercancia!C38</f>
        <v>Ferromax Colombia S.A.S.</v>
      </c>
      <c r="G185" s="23" t="str" cm="1">
        <f t="array" aca="1" ref="G185" ca="1">INDIRECT("mercancia!D"&amp;(INT((ROW()-2)/5)+2))</f>
        <v>901.234.567-2</v>
      </c>
      <c r="H185" s="21" t="str">
        <f>CHOOSE(MOD(36,3)+1,"CC-100 Bodega Central","CC-101 Sucursal Centro","CC-102 Sucursal Itagüí")</f>
        <v>CC-100 Bodega Central</v>
      </c>
      <c r="I185" s="21" t="str">
        <f>"ReteICA Medellín sobre compra "&amp;mercancia!A38</f>
        <v>ReteICA Medellín sobre compra FE-1037</v>
      </c>
      <c r="J185" s="24">
        <f>0</f>
        <v>0</v>
      </c>
      <c r="K185" s="24">
        <f ca="1">mercancia!N38</f>
        <v>284777</v>
      </c>
      <c r="L185" s="25" t="str">
        <f>mercancia!A38</f>
        <v>FE-1037</v>
      </c>
    </row>
    <row r="186" spans="1:12" x14ac:dyDescent="0.35">
      <c r="A186" s="20" t="str">
        <f>"CC-MC-"&amp;TEXT(1036,"0000")</f>
        <v>CC-MC-1036</v>
      </c>
      <c r="B186" s="21" t="str">
        <f>"Causación Compra"</f>
        <v>Causación Compra</v>
      </c>
      <c r="C186" s="22">
        <f ca="1">mercancia!B38</f>
        <v>46109</v>
      </c>
      <c r="D186" s="68" t="str">
        <f>"220505"</f>
        <v>220505</v>
      </c>
      <c r="E186" s="21" t="str">
        <f>"Proveedores nacionales"</f>
        <v>Proveedores nacionales</v>
      </c>
      <c r="F186" s="21" t="str">
        <f ca="1">mercancia!C38</f>
        <v>Ferromax Colombia S.A.S.</v>
      </c>
      <c r="G186" s="23" t="str" cm="1">
        <f t="array" aca="1" ref="G186" ca="1">INDIRECT("mercancia!D"&amp;(INT((ROW()-2)/5)+2))</f>
        <v>901.234.567-2</v>
      </c>
      <c r="H186" s="21" t="str">
        <f>CHOOSE(MOD(36,3)+1,"CC-100 Bodega Central","CC-101 Sucursal Centro","CC-102 Sucursal Itagüí")</f>
        <v>CC-100 Bodega Central</v>
      </c>
      <c r="I186" s="21" t="str">
        <f>"Cuenta por pagar proveedor - "&amp;mercancia!A38</f>
        <v>Cuenta por pagar proveedor - FE-1037</v>
      </c>
      <c r="J186" s="24">
        <f>0</f>
        <v>0</v>
      </c>
      <c r="K186" s="24">
        <f ca="1">mercancia!O38</f>
        <v>29766398</v>
      </c>
      <c r="L186" s="25" t="str">
        <f>mercancia!A38</f>
        <v>FE-1037</v>
      </c>
    </row>
    <row r="187" spans="1:12" x14ac:dyDescent="0.35">
      <c r="A187" s="26" t="str">
        <f>"CC-MC-"&amp;TEXT(1037,"0000")</f>
        <v>CC-MC-1037</v>
      </c>
      <c r="B187" s="27" t="str">
        <f>"Causación Compra"</f>
        <v>Causación Compra</v>
      </c>
      <c r="C187" s="28">
        <f ca="1">mercancia!B39</f>
        <v>46132</v>
      </c>
      <c r="D187" s="69" t="str">
        <f>"143505"</f>
        <v>143505</v>
      </c>
      <c r="E187" s="27" t="str">
        <f>"Mercancías no fabricadas por la empresa"</f>
        <v>Mercancías no fabricadas por la empresa</v>
      </c>
      <c r="F187" s="27" t="str">
        <f ca="1">mercancia!C39</f>
        <v>Herramientas Industriales Medellín S.A.S.</v>
      </c>
      <c r="G187" s="29" t="str" cm="1">
        <f t="array" aca="1" ref="G187" ca="1">INDIRECT("mercancia!D"&amp;(INT((ROW()-2)/5)+2))</f>
        <v>900.567.890-5</v>
      </c>
      <c r="H187" s="27" t="str">
        <f>CHOOSE(MOD(37,3)+1,"CC-100 Bodega Central","CC-101 Sucursal Centro","CC-102 Sucursal Itagüí")</f>
        <v>CC-101 Sucursal Centro</v>
      </c>
      <c r="I187" s="27" t="str">
        <f ca="1">"Compra mercancía - "&amp;mercancia!E39&amp;" - "&amp;mercancia!A39</f>
        <v>Compra mercancía - Carretilla buggy reforzada - FE-1038</v>
      </c>
      <c r="J187" s="30">
        <f ca="1">mercancia!H39</f>
        <v>14476000</v>
      </c>
      <c r="K187" s="30">
        <f>0</f>
        <v>0</v>
      </c>
      <c r="L187" s="31" t="str">
        <f>mercancia!A39</f>
        <v>FE-1038</v>
      </c>
    </row>
    <row r="188" spans="1:12" x14ac:dyDescent="0.35">
      <c r="A188" s="26" t="str">
        <f>"CC-MC-"&amp;TEXT(1037,"0000")</f>
        <v>CC-MC-1037</v>
      </c>
      <c r="B188" s="27" t="str">
        <f>"Causación Compra"</f>
        <v>Causación Compra</v>
      </c>
      <c r="C188" s="28">
        <f ca="1">mercancia!B39</f>
        <v>46132</v>
      </c>
      <c r="D188" s="69" t="str">
        <f>"240805"</f>
        <v>240805</v>
      </c>
      <c r="E188" s="27" t="str">
        <f>"IVA descontable - 19%"</f>
        <v>IVA descontable - 19%</v>
      </c>
      <c r="F188" s="27" t="str">
        <f ca="1">mercancia!C39</f>
        <v>Herramientas Industriales Medellín S.A.S.</v>
      </c>
      <c r="G188" s="29" t="str" cm="1">
        <f t="array" aca="1" ref="G188" ca="1">INDIRECT("mercancia!D"&amp;(INT((ROW()-2)/5)+2))</f>
        <v>900.567.890-5</v>
      </c>
      <c r="H188" s="27" t="str">
        <f>CHOOSE(MOD(37,3)+1,"CC-100 Bodega Central","CC-101 Sucursal Centro","CC-102 Sucursal Itagüí")</f>
        <v>CC-101 Sucursal Centro</v>
      </c>
      <c r="I188" s="27" t="str">
        <f>"IVA descontable factura "&amp;mercancia!A39</f>
        <v>IVA descontable factura FE-1038</v>
      </c>
      <c r="J188" s="30">
        <f ca="1">mercancia!I39</f>
        <v>2750440</v>
      </c>
      <c r="K188" s="30">
        <f>0</f>
        <v>0</v>
      </c>
      <c r="L188" s="31" t="str">
        <f>mercancia!A39</f>
        <v>FE-1038</v>
      </c>
    </row>
    <row r="189" spans="1:12" x14ac:dyDescent="0.35">
      <c r="A189" s="26" t="str">
        <f>"CC-MC-"&amp;TEXT(1037,"0000")</f>
        <v>CC-MC-1037</v>
      </c>
      <c r="B189" s="27" t="str">
        <f>"Causación Compra"</f>
        <v>Causación Compra</v>
      </c>
      <c r="C189" s="28">
        <f ca="1">mercancia!B39</f>
        <v>46132</v>
      </c>
      <c r="D189" s="69" t="str">
        <f>"236540"</f>
        <v>236540</v>
      </c>
      <c r="E189" s="27" t="str">
        <f>"Retención en la fuente - Compras"</f>
        <v>Retención en la fuente - Compras</v>
      </c>
      <c r="F189" s="27" t="str">
        <f ca="1">mercancia!C39</f>
        <v>Herramientas Industriales Medellín S.A.S.</v>
      </c>
      <c r="G189" s="29" t="str" cm="1">
        <f t="array" aca="1" ref="G189" ca="1">INDIRECT("mercancia!D"&amp;(INT((ROW()-2)/5)+2))</f>
        <v>900.567.890-5</v>
      </c>
      <c r="H189" s="27" t="str">
        <f>CHOOSE(MOD(37,3)+1,"CC-100 Bodega Central","CC-101 Sucursal Centro","CC-102 Sucursal Itagüí")</f>
        <v>CC-101 Sucursal Centro</v>
      </c>
      <c r="I189" s="27" t="str">
        <f ca="1">"ReteFuente "&amp;TEXT(mercancia!K39,"0.0%")&amp;" sobre compra "&amp;mercancia!A39</f>
        <v>ReteFuente 03% sobre compra FE-1038</v>
      </c>
      <c r="J189" s="30">
        <f>0</f>
        <v>0</v>
      </c>
      <c r="K189" s="30">
        <f ca="1">mercancia!L39</f>
        <v>361900</v>
      </c>
      <c r="L189" s="31" t="str">
        <f>mercancia!A39</f>
        <v>FE-1038</v>
      </c>
    </row>
    <row r="190" spans="1:12" x14ac:dyDescent="0.35">
      <c r="A190" s="26" t="str">
        <f>"CC-MC-"&amp;TEXT(1037,"0000")</f>
        <v>CC-MC-1037</v>
      </c>
      <c r="B190" s="27" t="str">
        <f>"Causación Compra"</f>
        <v>Causación Compra</v>
      </c>
      <c r="C190" s="28">
        <f ca="1">mercancia!B39</f>
        <v>46132</v>
      </c>
      <c r="D190" s="69" t="str">
        <f>"236805"</f>
        <v>236805</v>
      </c>
      <c r="E190" s="27" t="str">
        <f>"Retención ICA - Medellín 11.04‰"</f>
        <v>Retención ICA - Medellín 11.04‰</v>
      </c>
      <c r="F190" s="27" t="str">
        <f ca="1">mercancia!C39</f>
        <v>Herramientas Industriales Medellín S.A.S.</v>
      </c>
      <c r="G190" s="29" t="str" cm="1">
        <f t="array" aca="1" ref="G190" ca="1">INDIRECT("mercancia!D"&amp;(INT((ROW()-2)/5)+2))</f>
        <v>900.567.890-5</v>
      </c>
      <c r="H190" s="27" t="str">
        <f>CHOOSE(MOD(37,3)+1,"CC-100 Bodega Central","CC-101 Sucursal Centro","CC-102 Sucursal Itagüí")</f>
        <v>CC-101 Sucursal Centro</v>
      </c>
      <c r="I190" s="27" t="str">
        <f>"ReteICA Medellín sobre compra "&amp;mercancia!A39</f>
        <v>ReteICA Medellín sobre compra FE-1038</v>
      </c>
      <c r="J190" s="30">
        <f>0</f>
        <v>0</v>
      </c>
      <c r="K190" s="30">
        <f ca="1">mercancia!N39</f>
        <v>159815</v>
      </c>
      <c r="L190" s="31" t="str">
        <f>mercancia!A39</f>
        <v>FE-1038</v>
      </c>
    </row>
    <row r="191" spans="1:12" x14ac:dyDescent="0.35">
      <c r="A191" s="26" t="str">
        <f>"CC-MC-"&amp;TEXT(1037,"0000")</f>
        <v>CC-MC-1037</v>
      </c>
      <c r="B191" s="27" t="str">
        <f>"Causación Compra"</f>
        <v>Causación Compra</v>
      </c>
      <c r="C191" s="28">
        <f ca="1">mercancia!B39</f>
        <v>46132</v>
      </c>
      <c r="D191" s="69" t="str">
        <f>"220505"</f>
        <v>220505</v>
      </c>
      <c r="E191" s="27" t="str">
        <f>"Proveedores nacionales"</f>
        <v>Proveedores nacionales</v>
      </c>
      <c r="F191" s="27" t="str">
        <f ca="1">mercancia!C39</f>
        <v>Herramientas Industriales Medellín S.A.S.</v>
      </c>
      <c r="G191" s="29" t="str" cm="1">
        <f t="array" aca="1" ref="G191" ca="1">INDIRECT("mercancia!D"&amp;(INT((ROW()-2)/5)+2))</f>
        <v>900.567.890-5</v>
      </c>
      <c r="H191" s="27" t="str">
        <f>CHOOSE(MOD(37,3)+1,"CC-100 Bodega Central","CC-101 Sucursal Centro","CC-102 Sucursal Itagüí")</f>
        <v>CC-101 Sucursal Centro</v>
      </c>
      <c r="I191" s="27" t="str">
        <f>"Cuenta por pagar proveedor - "&amp;mercancia!A39</f>
        <v>Cuenta por pagar proveedor - FE-1038</v>
      </c>
      <c r="J191" s="30">
        <f>0</f>
        <v>0</v>
      </c>
      <c r="K191" s="30">
        <f ca="1">mercancia!O39</f>
        <v>16704725</v>
      </c>
      <c r="L191" s="31" t="str">
        <f>mercancia!A39</f>
        <v>FE-1038</v>
      </c>
    </row>
    <row r="192" spans="1:12" x14ac:dyDescent="0.35">
      <c r="A192" s="20" t="str">
        <f>"CC-MC-"&amp;TEXT(1038,"0000")</f>
        <v>CC-MC-1038</v>
      </c>
      <c r="B192" s="21" t="str">
        <f>"Causación Compra"</f>
        <v>Causación Compra</v>
      </c>
      <c r="C192" s="22">
        <f ca="1">mercancia!B40</f>
        <v>46045</v>
      </c>
      <c r="D192" s="68" t="str">
        <f>"143505"</f>
        <v>143505</v>
      </c>
      <c r="E192" s="21" t="str">
        <f>"Mercancías no fabricadas por la empresa"</f>
        <v>Mercancías no fabricadas por la empresa</v>
      </c>
      <c r="F192" s="21" t="str">
        <f ca="1">mercancia!C40</f>
        <v>El Constructor S.A.S.</v>
      </c>
      <c r="G192" s="23" t="str" cm="1">
        <f t="array" aca="1" ref="G192" ca="1">INDIRECT("mercancia!D"&amp;(INT((ROW()-2)/5)+2))</f>
        <v>901.123.456-1</v>
      </c>
      <c r="H192" s="21" t="str">
        <f>CHOOSE(MOD(38,3)+1,"CC-100 Bodega Central","CC-101 Sucursal Centro","CC-102 Sucursal Itagüí")</f>
        <v>CC-102 Sucursal Itagüí</v>
      </c>
      <c r="I192" s="21" t="str">
        <f ca="1">"Compra mercancía - "&amp;mercancia!E40&amp;" - "&amp;mercancia!A40</f>
        <v>Compra mercancía - El Constructor S.A.S. - FE-1039</v>
      </c>
      <c r="J192" s="24">
        <f ca="1">mercancia!H40</f>
        <v>1688400</v>
      </c>
      <c r="K192" s="24">
        <f>0</f>
        <v>0</v>
      </c>
      <c r="L192" s="25" t="str">
        <f>mercancia!A40</f>
        <v>FE-1039</v>
      </c>
    </row>
    <row r="193" spans="1:12" x14ac:dyDescent="0.35">
      <c r="A193" s="20" t="str">
        <f>"CC-MC-"&amp;TEXT(1038,"0000")</f>
        <v>CC-MC-1038</v>
      </c>
      <c r="B193" s="21" t="str">
        <f>"Causación Compra"</f>
        <v>Causación Compra</v>
      </c>
      <c r="C193" s="22">
        <f ca="1">mercancia!B40</f>
        <v>46045</v>
      </c>
      <c r="D193" s="68" t="str">
        <f>"240805"</f>
        <v>240805</v>
      </c>
      <c r="E193" s="21" t="str">
        <f>"IVA descontable - 19%"</f>
        <v>IVA descontable - 19%</v>
      </c>
      <c r="F193" s="21" t="str">
        <f ca="1">mercancia!C40</f>
        <v>El Constructor S.A.S.</v>
      </c>
      <c r="G193" s="23" t="str" cm="1">
        <f t="array" aca="1" ref="G193" ca="1">INDIRECT("mercancia!D"&amp;(INT((ROW()-2)/5)+2))</f>
        <v>901.123.456-1</v>
      </c>
      <c r="H193" s="21" t="str">
        <f>CHOOSE(MOD(38,3)+1,"CC-100 Bodega Central","CC-101 Sucursal Centro","CC-102 Sucursal Itagüí")</f>
        <v>CC-102 Sucursal Itagüí</v>
      </c>
      <c r="I193" s="21" t="str">
        <f>"IVA descontable factura "&amp;mercancia!A40</f>
        <v>IVA descontable factura FE-1039</v>
      </c>
      <c r="J193" s="24">
        <f ca="1">mercancia!I40</f>
        <v>320796</v>
      </c>
      <c r="K193" s="24">
        <f>0</f>
        <v>0</v>
      </c>
      <c r="L193" s="25" t="str">
        <f>mercancia!A40</f>
        <v>FE-1039</v>
      </c>
    </row>
    <row r="194" spans="1:12" x14ac:dyDescent="0.35">
      <c r="A194" s="20" t="str">
        <f>"CC-MC-"&amp;TEXT(1038,"0000")</f>
        <v>CC-MC-1038</v>
      </c>
      <c r="B194" s="21" t="str">
        <f>"Causación Compra"</f>
        <v>Causación Compra</v>
      </c>
      <c r="C194" s="22">
        <f ca="1">mercancia!B40</f>
        <v>46045</v>
      </c>
      <c r="D194" s="68" t="str">
        <f>"236540"</f>
        <v>236540</v>
      </c>
      <c r="E194" s="21" t="str">
        <f>"Retención en la fuente - Compras"</f>
        <v>Retención en la fuente - Compras</v>
      </c>
      <c r="F194" s="21" t="str">
        <f ca="1">mercancia!C40</f>
        <v>El Constructor S.A.S.</v>
      </c>
      <c r="G194" s="23" t="str" cm="1">
        <f t="array" aca="1" ref="G194" ca="1">INDIRECT("mercancia!D"&amp;(INT((ROW()-2)/5)+2))</f>
        <v>901.123.456-1</v>
      </c>
      <c r="H194" s="21" t="str">
        <f>CHOOSE(MOD(38,3)+1,"CC-100 Bodega Central","CC-101 Sucursal Centro","CC-102 Sucursal Itagüí")</f>
        <v>CC-102 Sucursal Itagüí</v>
      </c>
      <c r="I194" s="21" t="str">
        <f ca="1">"ReteFuente "&amp;TEXT(mercancia!K40,"0.0%")&amp;" sobre compra "&amp;mercancia!A40</f>
        <v>ReteFuente 04% sobre compra FE-1039</v>
      </c>
      <c r="J194" s="24">
        <f>0</f>
        <v>0</v>
      </c>
      <c r="K194" s="24">
        <f ca="1">mercancia!L40</f>
        <v>59094</v>
      </c>
      <c r="L194" s="25" t="str">
        <f>mercancia!A40</f>
        <v>FE-1039</v>
      </c>
    </row>
    <row r="195" spans="1:12" x14ac:dyDescent="0.35">
      <c r="A195" s="20" t="str">
        <f>"CC-MC-"&amp;TEXT(1038,"0000")</f>
        <v>CC-MC-1038</v>
      </c>
      <c r="B195" s="21" t="str">
        <f>"Causación Compra"</f>
        <v>Causación Compra</v>
      </c>
      <c r="C195" s="22">
        <f ca="1">mercancia!B40</f>
        <v>46045</v>
      </c>
      <c r="D195" s="68" t="str">
        <f>"236805"</f>
        <v>236805</v>
      </c>
      <c r="E195" s="21" t="str">
        <f>"Retención ICA - Medellín 11.04‰"</f>
        <v>Retención ICA - Medellín 11.04‰</v>
      </c>
      <c r="F195" s="21" t="str">
        <f ca="1">mercancia!C40</f>
        <v>El Constructor S.A.S.</v>
      </c>
      <c r="G195" s="23" t="str" cm="1">
        <f t="array" aca="1" ref="G195" ca="1">INDIRECT("mercancia!D"&amp;(INT((ROW()-2)/5)+2))</f>
        <v>901.123.456-1</v>
      </c>
      <c r="H195" s="21" t="str">
        <f>CHOOSE(MOD(38,3)+1,"CC-100 Bodega Central","CC-101 Sucursal Centro","CC-102 Sucursal Itagüí")</f>
        <v>CC-102 Sucursal Itagüí</v>
      </c>
      <c r="I195" s="21" t="str">
        <f>"ReteICA Medellín sobre compra "&amp;mercancia!A40</f>
        <v>ReteICA Medellín sobre compra FE-1039</v>
      </c>
      <c r="J195" s="24">
        <f>0</f>
        <v>0</v>
      </c>
      <c r="K195" s="24">
        <f ca="1">mercancia!N40</f>
        <v>18640</v>
      </c>
      <c r="L195" s="25" t="str">
        <f>mercancia!A40</f>
        <v>FE-1039</v>
      </c>
    </row>
    <row r="196" spans="1:12" x14ac:dyDescent="0.35">
      <c r="A196" s="20" t="str">
        <f>"CC-MC-"&amp;TEXT(1038,"0000")</f>
        <v>CC-MC-1038</v>
      </c>
      <c r="B196" s="21" t="str">
        <f>"Causación Compra"</f>
        <v>Causación Compra</v>
      </c>
      <c r="C196" s="22">
        <f ca="1">mercancia!B40</f>
        <v>46045</v>
      </c>
      <c r="D196" s="68" t="str">
        <f>"220505"</f>
        <v>220505</v>
      </c>
      <c r="E196" s="21" t="str">
        <f>"Proveedores nacionales"</f>
        <v>Proveedores nacionales</v>
      </c>
      <c r="F196" s="21" t="str">
        <f ca="1">mercancia!C40</f>
        <v>El Constructor S.A.S.</v>
      </c>
      <c r="G196" s="23" t="str" cm="1">
        <f t="array" aca="1" ref="G196" ca="1">INDIRECT("mercancia!D"&amp;(INT((ROW()-2)/5)+2))</f>
        <v>901.123.456-1</v>
      </c>
      <c r="H196" s="21" t="str">
        <f>CHOOSE(MOD(38,3)+1,"CC-100 Bodega Central","CC-101 Sucursal Centro","CC-102 Sucursal Itagüí")</f>
        <v>CC-102 Sucursal Itagüí</v>
      </c>
      <c r="I196" s="21" t="str">
        <f>"Cuenta por pagar proveedor - "&amp;mercancia!A40</f>
        <v>Cuenta por pagar proveedor - FE-1039</v>
      </c>
      <c r="J196" s="24">
        <f>0</f>
        <v>0</v>
      </c>
      <c r="K196" s="24">
        <f ca="1">mercancia!O40</f>
        <v>1931462</v>
      </c>
      <c r="L196" s="25" t="str">
        <f>mercancia!A40</f>
        <v>FE-1039</v>
      </c>
    </row>
    <row r="197" spans="1:12" x14ac:dyDescent="0.35">
      <c r="A197" s="26" t="str">
        <f>"CC-MC-"&amp;TEXT(1039,"0000")</f>
        <v>CC-MC-1039</v>
      </c>
      <c r="B197" s="27" t="str">
        <f>"Causación Compra"</f>
        <v>Causación Compra</v>
      </c>
      <c r="C197" s="28">
        <f ca="1">mercancia!B41</f>
        <v>46050</v>
      </c>
      <c r="D197" s="69" t="str">
        <f>"143505"</f>
        <v>143505</v>
      </c>
      <c r="E197" s="27" t="str">
        <f>"Mercancías no fabricadas por la empresa"</f>
        <v>Mercancías no fabricadas por la empresa</v>
      </c>
      <c r="F197" s="27" t="str">
        <f ca="1">mercancia!C41</f>
        <v>El Constructor S.A.S.</v>
      </c>
      <c r="G197" s="29" t="str" cm="1">
        <f t="array" aca="1" ref="G197" ca="1">INDIRECT("mercancia!D"&amp;(INT((ROW()-2)/5)+2))</f>
        <v>901.123.456-1</v>
      </c>
      <c r="H197" s="27" t="str">
        <f>CHOOSE(MOD(39,3)+1,"CC-100 Bodega Central","CC-101 Sucursal Centro","CC-102 Sucursal Itagüí")</f>
        <v>CC-100 Bodega Central</v>
      </c>
      <c r="I197" s="27" t="str">
        <f ca="1">"Compra mercancía - "&amp;mercancia!E41&amp;" - "&amp;mercancia!A41</f>
        <v>Compra mercancía - Triturado 1/2" - bulto - FE-1040</v>
      </c>
      <c r="J197" s="30">
        <f ca="1">mercancia!H41</f>
        <v>9739200</v>
      </c>
      <c r="K197" s="30">
        <f>0</f>
        <v>0</v>
      </c>
      <c r="L197" s="31" t="str">
        <f>mercancia!A41</f>
        <v>FE-1040</v>
      </c>
    </row>
    <row r="198" spans="1:12" x14ac:dyDescent="0.35">
      <c r="A198" s="26" t="str">
        <f>"CC-MC-"&amp;TEXT(1039,"0000")</f>
        <v>CC-MC-1039</v>
      </c>
      <c r="B198" s="27" t="str">
        <f>"Causación Compra"</f>
        <v>Causación Compra</v>
      </c>
      <c r="C198" s="28">
        <f ca="1">mercancia!B41</f>
        <v>46050</v>
      </c>
      <c r="D198" s="69" t="str">
        <f>"240805"</f>
        <v>240805</v>
      </c>
      <c r="E198" s="27" t="str">
        <f>"IVA descontable - 19%"</f>
        <v>IVA descontable - 19%</v>
      </c>
      <c r="F198" s="27" t="str">
        <f ca="1">mercancia!C41</f>
        <v>El Constructor S.A.S.</v>
      </c>
      <c r="G198" s="29" t="str" cm="1">
        <f t="array" aca="1" ref="G198" ca="1">INDIRECT("mercancia!D"&amp;(INT((ROW()-2)/5)+2))</f>
        <v>901.123.456-1</v>
      </c>
      <c r="H198" s="27" t="str">
        <f>CHOOSE(MOD(39,3)+1,"CC-100 Bodega Central","CC-101 Sucursal Centro","CC-102 Sucursal Itagüí")</f>
        <v>CC-100 Bodega Central</v>
      </c>
      <c r="I198" s="27" t="str">
        <f>"IVA descontable factura "&amp;mercancia!A41</f>
        <v>IVA descontable factura FE-1040</v>
      </c>
      <c r="J198" s="30">
        <f ca="1">mercancia!I41</f>
        <v>1850448</v>
      </c>
      <c r="K198" s="30">
        <f>0</f>
        <v>0</v>
      </c>
      <c r="L198" s="31" t="str">
        <f>mercancia!A41</f>
        <v>FE-1040</v>
      </c>
    </row>
    <row r="199" spans="1:12" x14ac:dyDescent="0.35">
      <c r="A199" s="26" t="str">
        <f>"CC-MC-"&amp;TEXT(1039,"0000")</f>
        <v>CC-MC-1039</v>
      </c>
      <c r="B199" s="27" t="str">
        <f>"Causación Compra"</f>
        <v>Causación Compra</v>
      </c>
      <c r="C199" s="28">
        <f ca="1">mercancia!B41</f>
        <v>46050</v>
      </c>
      <c r="D199" s="69" t="str">
        <f>"236540"</f>
        <v>236540</v>
      </c>
      <c r="E199" s="27" t="str">
        <f>"Retención en la fuente - Compras"</f>
        <v>Retención en la fuente - Compras</v>
      </c>
      <c r="F199" s="27" t="str">
        <f ca="1">mercancia!C41</f>
        <v>El Constructor S.A.S.</v>
      </c>
      <c r="G199" s="29" t="str" cm="1">
        <f t="array" aca="1" ref="G199" ca="1">INDIRECT("mercancia!D"&amp;(INT((ROW()-2)/5)+2))</f>
        <v>901.123.456-1</v>
      </c>
      <c r="H199" s="27" t="str">
        <f>CHOOSE(MOD(39,3)+1,"CC-100 Bodega Central","CC-101 Sucursal Centro","CC-102 Sucursal Itagüí")</f>
        <v>CC-100 Bodega Central</v>
      </c>
      <c r="I199" s="27" t="str">
        <f ca="1">"ReteFuente "&amp;TEXT(mercancia!K41,"0.0%")&amp;" sobre compra "&amp;mercancia!A41</f>
        <v>ReteFuente 03% sobre compra FE-1040</v>
      </c>
      <c r="J199" s="30">
        <f>0</f>
        <v>0</v>
      </c>
      <c r="K199" s="30">
        <f ca="1">mercancia!L41</f>
        <v>243480</v>
      </c>
      <c r="L199" s="31" t="str">
        <f>mercancia!A41</f>
        <v>FE-1040</v>
      </c>
    </row>
    <row r="200" spans="1:12" x14ac:dyDescent="0.35">
      <c r="A200" s="26" t="str">
        <f>"CC-MC-"&amp;TEXT(1039,"0000")</f>
        <v>CC-MC-1039</v>
      </c>
      <c r="B200" s="27" t="str">
        <f>"Causación Compra"</f>
        <v>Causación Compra</v>
      </c>
      <c r="C200" s="28">
        <f ca="1">mercancia!B41</f>
        <v>46050</v>
      </c>
      <c r="D200" s="69" t="str">
        <f>"236805"</f>
        <v>236805</v>
      </c>
      <c r="E200" s="27" t="str">
        <f>"Retención ICA - Medellín 11.04‰"</f>
        <v>Retención ICA - Medellín 11.04‰</v>
      </c>
      <c r="F200" s="27" t="str">
        <f ca="1">mercancia!C41</f>
        <v>El Constructor S.A.S.</v>
      </c>
      <c r="G200" s="29" t="str" cm="1">
        <f t="array" aca="1" ref="G200" ca="1">INDIRECT("mercancia!D"&amp;(INT((ROW()-2)/5)+2))</f>
        <v>901.123.456-1</v>
      </c>
      <c r="H200" s="27" t="str">
        <f>CHOOSE(MOD(39,3)+1,"CC-100 Bodega Central","CC-101 Sucursal Centro","CC-102 Sucursal Itagüí")</f>
        <v>CC-100 Bodega Central</v>
      </c>
      <c r="I200" s="27" t="str">
        <f>"ReteICA Medellín sobre compra "&amp;mercancia!A41</f>
        <v>ReteICA Medellín sobre compra FE-1040</v>
      </c>
      <c r="J200" s="30">
        <f>0</f>
        <v>0</v>
      </c>
      <c r="K200" s="30">
        <f ca="1">mercancia!N41</f>
        <v>107521</v>
      </c>
      <c r="L200" s="31" t="str">
        <f>mercancia!A41</f>
        <v>FE-1040</v>
      </c>
    </row>
    <row r="201" spans="1:12" x14ac:dyDescent="0.35">
      <c r="A201" s="26" t="str">
        <f>"CC-MC-"&amp;TEXT(1039,"0000")</f>
        <v>CC-MC-1039</v>
      </c>
      <c r="B201" s="27" t="str">
        <f>"Causación Compra"</f>
        <v>Causación Compra</v>
      </c>
      <c r="C201" s="28">
        <f ca="1">mercancia!B41</f>
        <v>46050</v>
      </c>
      <c r="D201" s="69" t="str">
        <f>"220505"</f>
        <v>220505</v>
      </c>
      <c r="E201" s="27" t="str">
        <f>"Proveedores nacionales"</f>
        <v>Proveedores nacionales</v>
      </c>
      <c r="F201" s="27" t="str">
        <f ca="1">mercancia!C41</f>
        <v>El Constructor S.A.S.</v>
      </c>
      <c r="G201" s="29" t="str" cm="1">
        <f t="array" aca="1" ref="G201" ca="1">INDIRECT("mercancia!D"&amp;(INT((ROW()-2)/5)+2))</f>
        <v>901.123.456-1</v>
      </c>
      <c r="H201" s="27" t="str">
        <f>CHOOSE(MOD(39,3)+1,"CC-100 Bodega Central","CC-101 Sucursal Centro","CC-102 Sucursal Itagüí")</f>
        <v>CC-100 Bodega Central</v>
      </c>
      <c r="I201" s="27" t="str">
        <f>"Cuenta por pagar proveedor - "&amp;mercancia!A41</f>
        <v>Cuenta por pagar proveedor - FE-1040</v>
      </c>
      <c r="J201" s="30">
        <f>0</f>
        <v>0</v>
      </c>
      <c r="K201" s="30">
        <f ca="1">mercancia!O41</f>
        <v>11238647</v>
      </c>
      <c r="L201" s="31" t="str">
        <f>mercancia!A41</f>
        <v>FE-1040</v>
      </c>
    </row>
    <row r="202" spans="1:12" x14ac:dyDescent="0.35">
      <c r="A202" s="20" t="str">
        <f>"CC-MC-"&amp;TEXT(1040,"0000")</f>
        <v>CC-MC-1040</v>
      </c>
      <c r="B202" s="21" t="str">
        <f>"Causación Compra"</f>
        <v>Causación Compra</v>
      </c>
      <c r="C202" s="22">
        <f ca="1">mercancia!B42</f>
        <v>46073</v>
      </c>
      <c r="D202" s="68" t="str">
        <f>"143505"</f>
        <v>143505</v>
      </c>
      <c r="E202" s="21" t="str">
        <f>"Mercancías no fabricadas por la empresa"</f>
        <v>Mercancías no fabricadas por la empresa</v>
      </c>
      <c r="F202" s="21" t="str">
        <f ca="1">mercancia!C42</f>
        <v>Hierros y Mallas Bello S.A.S.</v>
      </c>
      <c r="G202" s="23" t="str" cm="1">
        <f t="array" aca="1" ref="G202" ca="1">INDIRECT("mercancia!D"&amp;(INT((ROW()-2)/5)+2))</f>
        <v>900.901.234-9</v>
      </c>
      <c r="H202" s="21" t="str">
        <f>CHOOSE(MOD(40,3)+1,"CC-100 Bodega Central","CC-101 Sucursal Centro","CC-102 Sucursal Itagüí")</f>
        <v>CC-101 Sucursal Centro</v>
      </c>
      <c r="I202" s="21" t="str">
        <f ca="1">"Compra mercancía - "&amp;mercancia!E42&amp;" - "&amp;mercancia!A42</f>
        <v>Compra mercancía - Cemento blanco x 5 kg - FE-1041</v>
      </c>
      <c r="J202" s="24">
        <f ca="1">mercancia!H42</f>
        <v>5047200</v>
      </c>
      <c r="K202" s="24">
        <f>0</f>
        <v>0</v>
      </c>
      <c r="L202" s="25" t="str">
        <f>mercancia!A42</f>
        <v>FE-1041</v>
      </c>
    </row>
    <row r="203" spans="1:12" x14ac:dyDescent="0.35">
      <c r="A203" s="20" t="str">
        <f>"CC-MC-"&amp;TEXT(1040,"0000")</f>
        <v>CC-MC-1040</v>
      </c>
      <c r="B203" s="21" t="str">
        <f>"Causación Compra"</f>
        <v>Causación Compra</v>
      </c>
      <c r="C203" s="22">
        <f ca="1">mercancia!B42</f>
        <v>46073</v>
      </c>
      <c r="D203" s="68" t="str">
        <f>"240805"</f>
        <v>240805</v>
      </c>
      <c r="E203" s="21" t="str">
        <f>"IVA descontable - 19%"</f>
        <v>IVA descontable - 19%</v>
      </c>
      <c r="F203" s="21" t="str">
        <f ca="1">mercancia!C42</f>
        <v>Hierros y Mallas Bello S.A.S.</v>
      </c>
      <c r="G203" s="23" t="str" cm="1">
        <f t="array" aca="1" ref="G203" ca="1">INDIRECT("mercancia!D"&amp;(INT((ROW()-2)/5)+2))</f>
        <v>900.901.234-9</v>
      </c>
      <c r="H203" s="21" t="str">
        <f>CHOOSE(MOD(40,3)+1,"CC-100 Bodega Central","CC-101 Sucursal Centro","CC-102 Sucursal Itagüí")</f>
        <v>CC-101 Sucursal Centro</v>
      </c>
      <c r="I203" s="21" t="str">
        <f>"IVA descontable factura "&amp;mercancia!A42</f>
        <v>IVA descontable factura FE-1041</v>
      </c>
      <c r="J203" s="24">
        <f ca="1">mercancia!I42</f>
        <v>958968</v>
      </c>
      <c r="K203" s="24">
        <f>0</f>
        <v>0</v>
      </c>
      <c r="L203" s="25" t="str">
        <f>mercancia!A42</f>
        <v>FE-1041</v>
      </c>
    </row>
    <row r="204" spans="1:12" x14ac:dyDescent="0.35">
      <c r="A204" s="20" t="str">
        <f>"CC-MC-"&amp;TEXT(1040,"0000")</f>
        <v>CC-MC-1040</v>
      </c>
      <c r="B204" s="21" t="str">
        <f>"Causación Compra"</f>
        <v>Causación Compra</v>
      </c>
      <c r="C204" s="22">
        <f ca="1">mercancia!B42</f>
        <v>46073</v>
      </c>
      <c r="D204" s="68" t="str">
        <f>"236540"</f>
        <v>236540</v>
      </c>
      <c r="E204" s="21" t="str">
        <f>"Retención en la fuente - Compras"</f>
        <v>Retención en la fuente - Compras</v>
      </c>
      <c r="F204" s="21" t="str">
        <f ca="1">mercancia!C42</f>
        <v>Hierros y Mallas Bello S.A.S.</v>
      </c>
      <c r="G204" s="23" t="str" cm="1">
        <f t="array" aca="1" ref="G204" ca="1">INDIRECT("mercancia!D"&amp;(INT((ROW()-2)/5)+2))</f>
        <v>900.901.234-9</v>
      </c>
      <c r="H204" s="21" t="str">
        <f>CHOOSE(MOD(40,3)+1,"CC-100 Bodega Central","CC-101 Sucursal Centro","CC-102 Sucursal Itagüí")</f>
        <v>CC-101 Sucursal Centro</v>
      </c>
      <c r="I204" s="21" t="str">
        <f ca="1">"ReteFuente "&amp;TEXT(mercancia!K42,"0.0%")&amp;" sobre compra "&amp;mercancia!A42</f>
        <v>ReteFuente 04% sobre compra FE-1041</v>
      </c>
      <c r="J204" s="24">
        <f>0</f>
        <v>0</v>
      </c>
      <c r="K204" s="24">
        <f ca="1">mercancia!L42</f>
        <v>176652</v>
      </c>
      <c r="L204" s="25" t="str">
        <f>mercancia!A42</f>
        <v>FE-1041</v>
      </c>
    </row>
    <row r="205" spans="1:12" x14ac:dyDescent="0.35">
      <c r="A205" s="20" t="str">
        <f>"CC-MC-"&amp;TEXT(1040,"0000")</f>
        <v>CC-MC-1040</v>
      </c>
      <c r="B205" s="21" t="str">
        <f>"Causación Compra"</f>
        <v>Causación Compra</v>
      </c>
      <c r="C205" s="22">
        <f ca="1">mercancia!B42</f>
        <v>46073</v>
      </c>
      <c r="D205" s="68" t="str">
        <f>"236805"</f>
        <v>236805</v>
      </c>
      <c r="E205" s="21" t="str">
        <f>"Retención ICA - Medellín 11.04‰"</f>
        <v>Retención ICA - Medellín 11.04‰</v>
      </c>
      <c r="F205" s="21" t="str">
        <f ca="1">mercancia!C42</f>
        <v>Hierros y Mallas Bello S.A.S.</v>
      </c>
      <c r="G205" s="23" t="str" cm="1">
        <f t="array" aca="1" ref="G205" ca="1">INDIRECT("mercancia!D"&amp;(INT((ROW()-2)/5)+2))</f>
        <v>900.901.234-9</v>
      </c>
      <c r="H205" s="21" t="str">
        <f>CHOOSE(MOD(40,3)+1,"CC-100 Bodega Central","CC-101 Sucursal Centro","CC-102 Sucursal Itagüí")</f>
        <v>CC-101 Sucursal Centro</v>
      </c>
      <c r="I205" s="21" t="str">
        <f>"ReteICA Medellín sobre compra "&amp;mercancia!A42</f>
        <v>ReteICA Medellín sobre compra FE-1041</v>
      </c>
      <c r="J205" s="24">
        <f>0</f>
        <v>0</v>
      </c>
      <c r="K205" s="24">
        <f ca="1">mercancia!N42</f>
        <v>55721</v>
      </c>
      <c r="L205" s="25" t="str">
        <f>mercancia!A42</f>
        <v>FE-1041</v>
      </c>
    </row>
    <row r="206" spans="1:12" x14ac:dyDescent="0.35">
      <c r="A206" s="20" t="str">
        <f>"CC-MC-"&amp;TEXT(1040,"0000")</f>
        <v>CC-MC-1040</v>
      </c>
      <c r="B206" s="21" t="str">
        <f>"Causación Compra"</f>
        <v>Causación Compra</v>
      </c>
      <c r="C206" s="22">
        <f ca="1">mercancia!B42</f>
        <v>46073</v>
      </c>
      <c r="D206" s="68" t="str">
        <f>"220505"</f>
        <v>220505</v>
      </c>
      <c r="E206" s="21" t="str">
        <f>"Proveedores nacionales"</f>
        <v>Proveedores nacionales</v>
      </c>
      <c r="F206" s="21" t="str">
        <f ca="1">mercancia!C42</f>
        <v>Hierros y Mallas Bello S.A.S.</v>
      </c>
      <c r="G206" s="23" t="str" cm="1">
        <f t="array" aca="1" ref="G206" ca="1">INDIRECT("mercancia!D"&amp;(INT((ROW()-2)/5)+2))</f>
        <v>900.901.234-9</v>
      </c>
      <c r="H206" s="21" t="str">
        <f>CHOOSE(MOD(40,3)+1,"CC-100 Bodega Central","CC-101 Sucursal Centro","CC-102 Sucursal Itagüí")</f>
        <v>CC-101 Sucursal Centro</v>
      </c>
      <c r="I206" s="21" t="str">
        <f>"Cuenta por pagar proveedor - "&amp;mercancia!A42</f>
        <v>Cuenta por pagar proveedor - FE-1041</v>
      </c>
      <c r="J206" s="24">
        <f>0</f>
        <v>0</v>
      </c>
      <c r="K206" s="24">
        <f ca="1">mercancia!O42</f>
        <v>5773795</v>
      </c>
      <c r="L206" s="25" t="str">
        <f>mercancia!A42</f>
        <v>FE-1041</v>
      </c>
    </row>
    <row r="207" spans="1:12" x14ac:dyDescent="0.35">
      <c r="A207" s="26" t="str">
        <f>"CC-MC-"&amp;TEXT(1041,"0000")</f>
        <v>CC-MC-1041</v>
      </c>
      <c r="B207" s="27" t="str">
        <f>"Causación Compra"</f>
        <v>Causación Compra</v>
      </c>
      <c r="C207" s="28">
        <f ca="1">mercancia!B43</f>
        <v>46048</v>
      </c>
      <c r="D207" s="69" t="str">
        <f>"143505"</f>
        <v>143505</v>
      </c>
      <c r="E207" s="27" t="str">
        <f>"Mercancías no fabricadas por la empresa"</f>
        <v>Mercancías no fabricadas por la empresa</v>
      </c>
      <c r="F207" s="27" t="str">
        <f ca="1">mercancia!C43</f>
        <v>Distribuidora El Martillo de Oro S.A.S.</v>
      </c>
      <c r="G207" s="29" t="str" cm="1">
        <f t="array" aca="1" ref="G207" ca="1">INDIRECT("mercancia!D"&amp;(INT((ROW()-2)/5)+2))</f>
        <v>900.345.678-3</v>
      </c>
      <c r="H207" s="27" t="str">
        <f>CHOOSE(MOD(41,3)+1,"CC-100 Bodega Central","CC-101 Sucursal Centro","CC-102 Sucursal Itagüí")</f>
        <v>CC-102 Sucursal Itagüí</v>
      </c>
      <c r="I207" s="27" t="str">
        <f ca="1">"Compra mercancía - "&amp;mercancia!E43&amp;" - "&amp;mercancia!A43</f>
        <v>Compra mercancía - Teja eternit ondulada No. 6 - FE-1042</v>
      </c>
      <c r="J207" s="30">
        <f ca="1">mercancia!H43</f>
        <v>5956200</v>
      </c>
      <c r="K207" s="30">
        <f>0</f>
        <v>0</v>
      </c>
      <c r="L207" s="31" t="str">
        <f>mercancia!A43</f>
        <v>FE-1042</v>
      </c>
    </row>
    <row r="208" spans="1:12" x14ac:dyDescent="0.35">
      <c r="A208" s="26" t="str">
        <f>"CC-MC-"&amp;TEXT(1041,"0000")</f>
        <v>CC-MC-1041</v>
      </c>
      <c r="B208" s="27" t="str">
        <f>"Causación Compra"</f>
        <v>Causación Compra</v>
      </c>
      <c r="C208" s="28">
        <f ca="1">mercancia!B43</f>
        <v>46048</v>
      </c>
      <c r="D208" s="69" t="str">
        <f>"240805"</f>
        <v>240805</v>
      </c>
      <c r="E208" s="27" t="str">
        <f>"IVA descontable - 19%"</f>
        <v>IVA descontable - 19%</v>
      </c>
      <c r="F208" s="27" t="str">
        <f ca="1">mercancia!C43</f>
        <v>Distribuidora El Martillo de Oro S.A.S.</v>
      </c>
      <c r="G208" s="29" t="str" cm="1">
        <f t="array" aca="1" ref="G208" ca="1">INDIRECT("mercancia!D"&amp;(INT((ROW()-2)/5)+2))</f>
        <v>900.345.678-3</v>
      </c>
      <c r="H208" s="27" t="str">
        <f>CHOOSE(MOD(41,3)+1,"CC-100 Bodega Central","CC-101 Sucursal Centro","CC-102 Sucursal Itagüí")</f>
        <v>CC-102 Sucursal Itagüí</v>
      </c>
      <c r="I208" s="27" t="str">
        <f>"IVA descontable factura "&amp;mercancia!A43</f>
        <v>IVA descontable factura FE-1042</v>
      </c>
      <c r="J208" s="30">
        <f ca="1">mercancia!I43</f>
        <v>1131678</v>
      </c>
      <c r="K208" s="30">
        <f>0</f>
        <v>0</v>
      </c>
      <c r="L208" s="31" t="str">
        <f>mercancia!A43</f>
        <v>FE-1042</v>
      </c>
    </row>
    <row r="209" spans="1:12" x14ac:dyDescent="0.35">
      <c r="A209" s="26" t="str">
        <f>"CC-MC-"&amp;TEXT(1041,"0000")</f>
        <v>CC-MC-1041</v>
      </c>
      <c r="B209" s="27" t="str">
        <f>"Causación Compra"</f>
        <v>Causación Compra</v>
      </c>
      <c r="C209" s="28">
        <f ca="1">mercancia!B43</f>
        <v>46048</v>
      </c>
      <c r="D209" s="69" t="str">
        <f>"236540"</f>
        <v>236540</v>
      </c>
      <c r="E209" s="27" t="str">
        <f>"Retención en la fuente - Compras"</f>
        <v>Retención en la fuente - Compras</v>
      </c>
      <c r="F209" s="27" t="str">
        <f ca="1">mercancia!C43</f>
        <v>Distribuidora El Martillo de Oro S.A.S.</v>
      </c>
      <c r="G209" s="29" t="str" cm="1">
        <f t="array" aca="1" ref="G209" ca="1">INDIRECT("mercancia!D"&amp;(INT((ROW()-2)/5)+2))</f>
        <v>900.345.678-3</v>
      </c>
      <c r="H209" s="27" t="str">
        <f>CHOOSE(MOD(41,3)+1,"CC-100 Bodega Central","CC-101 Sucursal Centro","CC-102 Sucursal Itagüí")</f>
        <v>CC-102 Sucursal Itagüí</v>
      </c>
      <c r="I209" s="27" t="str">
        <f ca="1">"ReteFuente "&amp;TEXT(mercancia!K43,"0.0%")&amp;" sobre compra "&amp;mercancia!A43</f>
        <v>ReteFuente 03% sobre compra FE-1042</v>
      </c>
      <c r="J209" s="30">
        <f>0</f>
        <v>0</v>
      </c>
      <c r="K209" s="30">
        <f ca="1">mercancia!L43</f>
        <v>148905</v>
      </c>
      <c r="L209" s="31" t="str">
        <f>mercancia!A43</f>
        <v>FE-1042</v>
      </c>
    </row>
    <row r="210" spans="1:12" x14ac:dyDescent="0.35">
      <c r="A210" s="26" t="str">
        <f>"CC-MC-"&amp;TEXT(1041,"0000")</f>
        <v>CC-MC-1041</v>
      </c>
      <c r="B210" s="27" t="str">
        <f>"Causación Compra"</f>
        <v>Causación Compra</v>
      </c>
      <c r="C210" s="28">
        <f ca="1">mercancia!B43</f>
        <v>46048</v>
      </c>
      <c r="D210" s="69" t="str">
        <f>"236805"</f>
        <v>236805</v>
      </c>
      <c r="E210" s="27" t="str">
        <f>"Retención ICA - Medellín 11.04‰"</f>
        <v>Retención ICA - Medellín 11.04‰</v>
      </c>
      <c r="F210" s="27" t="str">
        <f ca="1">mercancia!C43</f>
        <v>Distribuidora El Martillo de Oro S.A.S.</v>
      </c>
      <c r="G210" s="29" t="str" cm="1">
        <f t="array" aca="1" ref="G210" ca="1">INDIRECT("mercancia!D"&amp;(INT((ROW()-2)/5)+2))</f>
        <v>900.345.678-3</v>
      </c>
      <c r="H210" s="27" t="str">
        <f>CHOOSE(MOD(41,3)+1,"CC-100 Bodega Central","CC-101 Sucursal Centro","CC-102 Sucursal Itagüí")</f>
        <v>CC-102 Sucursal Itagüí</v>
      </c>
      <c r="I210" s="27" t="str">
        <f>"ReteICA Medellín sobre compra "&amp;mercancia!A43</f>
        <v>ReteICA Medellín sobre compra FE-1042</v>
      </c>
      <c r="J210" s="30">
        <f>0</f>
        <v>0</v>
      </c>
      <c r="K210" s="30">
        <f ca="1">mercancia!N43</f>
        <v>65756</v>
      </c>
      <c r="L210" s="31" t="str">
        <f>mercancia!A43</f>
        <v>FE-1042</v>
      </c>
    </row>
    <row r="211" spans="1:12" x14ac:dyDescent="0.35">
      <c r="A211" s="26" t="str">
        <f>"CC-MC-"&amp;TEXT(1041,"0000")</f>
        <v>CC-MC-1041</v>
      </c>
      <c r="B211" s="27" t="str">
        <f>"Causación Compra"</f>
        <v>Causación Compra</v>
      </c>
      <c r="C211" s="28">
        <f ca="1">mercancia!B43</f>
        <v>46048</v>
      </c>
      <c r="D211" s="69" t="str">
        <f>"220505"</f>
        <v>220505</v>
      </c>
      <c r="E211" s="27" t="str">
        <f>"Proveedores nacionales"</f>
        <v>Proveedores nacionales</v>
      </c>
      <c r="F211" s="27" t="str">
        <f ca="1">mercancia!C43</f>
        <v>Distribuidora El Martillo de Oro S.A.S.</v>
      </c>
      <c r="G211" s="29" t="str" cm="1">
        <f t="array" aca="1" ref="G211" ca="1">INDIRECT("mercancia!D"&amp;(INT((ROW()-2)/5)+2))</f>
        <v>900.345.678-3</v>
      </c>
      <c r="H211" s="27" t="str">
        <f>CHOOSE(MOD(41,3)+1,"CC-100 Bodega Central","CC-101 Sucursal Centro","CC-102 Sucursal Itagüí")</f>
        <v>CC-102 Sucursal Itagüí</v>
      </c>
      <c r="I211" s="27" t="str">
        <f>"Cuenta por pagar proveedor - "&amp;mercancia!A43</f>
        <v>Cuenta por pagar proveedor - FE-1042</v>
      </c>
      <c r="J211" s="30">
        <f>0</f>
        <v>0</v>
      </c>
      <c r="K211" s="30">
        <f ca="1">mercancia!O43</f>
        <v>6873217</v>
      </c>
      <c r="L211" s="31" t="str">
        <f>mercancia!A43</f>
        <v>FE-1042</v>
      </c>
    </row>
    <row r="212" spans="1:12" x14ac:dyDescent="0.35">
      <c r="A212" s="20" t="str">
        <f>"CC-MC-"&amp;TEXT(1042,"0000")</f>
        <v>CC-MC-1042</v>
      </c>
      <c r="B212" s="21" t="str">
        <f>"Causación Compra"</f>
        <v>Causación Compra</v>
      </c>
      <c r="C212" s="22">
        <f ca="1">mercancia!B44</f>
        <v>46082</v>
      </c>
      <c r="D212" s="68" t="str">
        <f>"143505"</f>
        <v>143505</v>
      </c>
      <c r="E212" s="21" t="str">
        <f>"Mercancías no fabricadas por la empresa"</f>
        <v>Mercancías no fabricadas por la empresa</v>
      </c>
      <c r="F212" s="21" t="str">
        <f ca="1">mercancia!C44</f>
        <v>Herramientas Industriales Medellín S.A.S.</v>
      </c>
      <c r="G212" s="23" t="str" cm="1">
        <f t="array" aca="1" ref="G212" ca="1">INDIRECT("mercancia!D"&amp;(INT((ROW()-2)/5)+2))</f>
        <v>900.567.890-5</v>
      </c>
      <c r="H212" s="21" t="str">
        <f>CHOOSE(MOD(42,3)+1,"CC-100 Bodega Central","CC-101 Sucursal Centro","CC-102 Sucursal Itagüí")</f>
        <v>CC-100 Bodega Central</v>
      </c>
      <c r="I212" s="21" t="str">
        <f ca="1">"Compra mercancía - "&amp;mercancia!E44&amp;" - "&amp;mercancia!A44</f>
        <v>Compra mercancía - Materiales La Estrella S.A.S. - FE-1043</v>
      </c>
      <c r="J212" s="24">
        <f ca="1">mercancia!H44</f>
        <v>26617800</v>
      </c>
      <c r="K212" s="24">
        <f>0</f>
        <v>0</v>
      </c>
      <c r="L212" s="25" t="str">
        <f>mercancia!A44</f>
        <v>FE-1043</v>
      </c>
    </row>
    <row r="213" spans="1:12" x14ac:dyDescent="0.35">
      <c r="A213" s="20" t="str">
        <f>"CC-MC-"&amp;TEXT(1042,"0000")</f>
        <v>CC-MC-1042</v>
      </c>
      <c r="B213" s="21" t="str">
        <f>"Causación Compra"</f>
        <v>Causación Compra</v>
      </c>
      <c r="C213" s="22">
        <f ca="1">mercancia!B44</f>
        <v>46082</v>
      </c>
      <c r="D213" s="68" t="str">
        <f>"240805"</f>
        <v>240805</v>
      </c>
      <c r="E213" s="21" t="str">
        <f>"IVA descontable - 19%"</f>
        <v>IVA descontable - 19%</v>
      </c>
      <c r="F213" s="21" t="str">
        <f ca="1">mercancia!C44</f>
        <v>Herramientas Industriales Medellín S.A.S.</v>
      </c>
      <c r="G213" s="23" t="str" cm="1">
        <f t="array" aca="1" ref="G213" ca="1">INDIRECT("mercancia!D"&amp;(INT((ROW()-2)/5)+2))</f>
        <v>900.567.890-5</v>
      </c>
      <c r="H213" s="21" t="str">
        <f>CHOOSE(MOD(42,3)+1,"CC-100 Bodega Central","CC-101 Sucursal Centro","CC-102 Sucursal Itagüí")</f>
        <v>CC-100 Bodega Central</v>
      </c>
      <c r="I213" s="21" t="str">
        <f>"IVA descontable factura "&amp;mercancia!A44</f>
        <v>IVA descontable factura FE-1043</v>
      </c>
      <c r="J213" s="24">
        <f ca="1">mercancia!I44</f>
        <v>5057382</v>
      </c>
      <c r="K213" s="24">
        <f>0</f>
        <v>0</v>
      </c>
      <c r="L213" s="25" t="str">
        <f>mercancia!A44</f>
        <v>FE-1043</v>
      </c>
    </row>
    <row r="214" spans="1:12" x14ac:dyDescent="0.35">
      <c r="A214" s="20" t="str">
        <f>"CC-MC-"&amp;TEXT(1042,"0000")</f>
        <v>CC-MC-1042</v>
      </c>
      <c r="B214" s="21" t="str">
        <f>"Causación Compra"</f>
        <v>Causación Compra</v>
      </c>
      <c r="C214" s="22">
        <f ca="1">mercancia!B44</f>
        <v>46082</v>
      </c>
      <c r="D214" s="68" t="str">
        <f>"236540"</f>
        <v>236540</v>
      </c>
      <c r="E214" s="21" t="str">
        <f>"Retención en la fuente - Compras"</f>
        <v>Retención en la fuente - Compras</v>
      </c>
      <c r="F214" s="21" t="str">
        <f ca="1">mercancia!C44</f>
        <v>Herramientas Industriales Medellín S.A.S.</v>
      </c>
      <c r="G214" s="23" t="str" cm="1">
        <f t="array" aca="1" ref="G214" ca="1">INDIRECT("mercancia!D"&amp;(INT((ROW()-2)/5)+2))</f>
        <v>900.567.890-5</v>
      </c>
      <c r="H214" s="21" t="str">
        <f>CHOOSE(MOD(42,3)+1,"CC-100 Bodega Central","CC-101 Sucursal Centro","CC-102 Sucursal Itagüí")</f>
        <v>CC-100 Bodega Central</v>
      </c>
      <c r="I214" s="21" t="str">
        <f ca="1">"ReteFuente "&amp;TEXT(mercancia!K44,"0.0%")&amp;" sobre compra "&amp;mercancia!A44</f>
        <v>ReteFuente 03% sobre compra FE-1043</v>
      </c>
      <c r="J214" s="24">
        <f>0</f>
        <v>0</v>
      </c>
      <c r="K214" s="24">
        <f ca="1">mercancia!L44</f>
        <v>665445</v>
      </c>
      <c r="L214" s="25" t="str">
        <f>mercancia!A44</f>
        <v>FE-1043</v>
      </c>
    </row>
    <row r="215" spans="1:12" x14ac:dyDescent="0.35">
      <c r="A215" s="20" t="str">
        <f>"CC-MC-"&amp;TEXT(1042,"0000")</f>
        <v>CC-MC-1042</v>
      </c>
      <c r="B215" s="21" t="str">
        <f>"Causación Compra"</f>
        <v>Causación Compra</v>
      </c>
      <c r="C215" s="22">
        <f ca="1">mercancia!B44</f>
        <v>46082</v>
      </c>
      <c r="D215" s="68" t="str">
        <f>"236805"</f>
        <v>236805</v>
      </c>
      <c r="E215" s="21" t="str">
        <f>"Retención ICA - Medellín 11.04‰"</f>
        <v>Retención ICA - Medellín 11.04‰</v>
      </c>
      <c r="F215" s="21" t="str">
        <f ca="1">mercancia!C44</f>
        <v>Herramientas Industriales Medellín S.A.S.</v>
      </c>
      <c r="G215" s="23" t="str" cm="1">
        <f t="array" aca="1" ref="G215" ca="1">INDIRECT("mercancia!D"&amp;(INT((ROW()-2)/5)+2))</f>
        <v>900.567.890-5</v>
      </c>
      <c r="H215" s="21" t="str">
        <f>CHOOSE(MOD(42,3)+1,"CC-100 Bodega Central","CC-101 Sucursal Centro","CC-102 Sucursal Itagüí")</f>
        <v>CC-100 Bodega Central</v>
      </c>
      <c r="I215" s="21" t="str">
        <f>"ReteICA Medellín sobre compra "&amp;mercancia!A44</f>
        <v>ReteICA Medellín sobre compra FE-1043</v>
      </c>
      <c r="J215" s="24">
        <f>0</f>
        <v>0</v>
      </c>
      <c r="K215" s="24">
        <f ca="1">mercancia!N44</f>
        <v>293861</v>
      </c>
      <c r="L215" s="25" t="str">
        <f>mercancia!A44</f>
        <v>FE-1043</v>
      </c>
    </row>
    <row r="216" spans="1:12" x14ac:dyDescent="0.35">
      <c r="A216" s="20" t="str">
        <f>"CC-MC-"&amp;TEXT(1042,"0000")</f>
        <v>CC-MC-1042</v>
      </c>
      <c r="B216" s="21" t="str">
        <f>"Causación Compra"</f>
        <v>Causación Compra</v>
      </c>
      <c r="C216" s="22">
        <f ca="1">mercancia!B44</f>
        <v>46082</v>
      </c>
      <c r="D216" s="68" t="str">
        <f>"220505"</f>
        <v>220505</v>
      </c>
      <c r="E216" s="21" t="str">
        <f>"Proveedores nacionales"</f>
        <v>Proveedores nacionales</v>
      </c>
      <c r="F216" s="21" t="str">
        <f ca="1">mercancia!C44</f>
        <v>Herramientas Industriales Medellín S.A.S.</v>
      </c>
      <c r="G216" s="23" t="str" cm="1">
        <f t="array" aca="1" ref="G216" ca="1">INDIRECT("mercancia!D"&amp;(INT((ROW()-2)/5)+2))</f>
        <v>900.567.890-5</v>
      </c>
      <c r="H216" s="21" t="str">
        <f>CHOOSE(MOD(42,3)+1,"CC-100 Bodega Central","CC-101 Sucursal Centro","CC-102 Sucursal Itagüí")</f>
        <v>CC-100 Bodega Central</v>
      </c>
      <c r="I216" s="21" t="str">
        <f>"Cuenta por pagar proveedor - "&amp;mercancia!A44</f>
        <v>Cuenta por pagar proveedor - FE-1043</v>
      </c>
      <c r="J216" s="24">
        <f>0</f>
        <v>0</v>
      </c>
      <c r="K216" s="24">
        <f ca="1">mercancia!O44</f>
        <v>30715876</v>
      </c>
      <c r="L216" s="25" t="str">
        <f>mercancia!A44</f>
        <v>FE-1043</v>
      </c>
    </row>
    <row r="217" spans="1:12" x14ac:dyDescent="0.35">
      <c r="A217" s="26" t="str">
        <f>"CC-MC-"&amp;TEXT(1043,"0000")</f>
        <v>CC-MC-1043</v>
      </c>
      <c r="B217" s="27" t="str">
        <f>"Causación Compra"</f>
        <v>Causación Compra</v>
      </c>
      <c r="C217" s="28">
        <f ca="1">mercancia!B45</f>
        <v>46133</v>
      </c>
      <c r="D217" s="69" t="str">
        <f>"143505"</f>
        <v>143505</v>
      </c>
      <c r="E217" s="27" t="str">
        <f>"Mercancías no fabricadas por la empresa"</f>
        <v>Mercancías no fabricadas por la empresa</v>
      </c>
      <c r="F217" s="27" t="str">
        <f ca="1">mercancia!C45</f>
        <v>Ferretería Antioqueña Ltda.</v>
      </c>
      <c r="G217" s="29" t="str" cm="1">
        <f t="array" aca="1" ref="G217" ca="1">INDIRECT("mercancia!D"&amp;(INT((ROW()-2)/5)+2))</f>
        <v>900.234.567-2</v>
      </c>
      <c r="H217" s="27" t="str">
        <f>CHOOSE(MOD(43,3)+1,"CC-100 Bodega Central","CC-101 Sucursal Centro","CC-102 Sucursal Itagüí")</f>
        <v>CC-101 Sucursal Centro</v>
      </c>
      <c r="I217" s="27" t="str">
        <f ca="1">"Compra mercancía - "&amp;mercancia!E45&amp;" - "&amp;mercancia!A45</f>
        <v>Compra mercancía - Tornillería Nacional del Valle de Aburrá - FE-1044</v>
      </c>
      <c r="J217" s="30">
        <f ca="1">mercancia!H45</f>
        <v>10232300</v>
      </c>
      <c r="K217" s="30">
        <f>0</f>
        <v>0</v>
      </c>
      <c r="L217" s="31" t="str">
        <f>mercancia!A45</f>
        <v>FE-1044</v>
      </c>
    </row>
    <row r="218" spans="1:12" x14ac:dyDescent="0.35">
      <c r="A218" s="26" t="str">
        <f>"CC-MC-"&amp;TEXT(1043,"0000")</f>
        <v>CC-MC-1043</v>
      </c>
      <c r="B218" s="27" t="str">
        <f>"Causación Compra"</f>
        <v>Causación Compra</v>
      </c>
      <c r="C218" s="28">
        <f ca="1">mercancia!B45</f>
        <v>46133</v>
      </c>
      <c r="D218" s="69" t="str">
        <f>"240805"</f>
        <v>240805</v>
      </c>
      <c r="E218" s="27" t="str">
        <f>"IVA descontable - 19%"</f>
        <v>IVA descontable - 19%</v>
      </c>
      <c r="F218" s="27" t="str">
        <f ca="1">mercancia!C45</f>
        <v>Ferretería Antioqueña Ltda.</v>
      </c>
      <c r="G218" s="29" t="str" cm="1">
        <f t="array" aca="1" ref="G218" ca="1">INDIRECT("mercancia!D"&amp;(INT((ROW()-2)/5)+2))</f>
        <v>900.234.567-2</v>
      </c>
      <c r="H218" s="27" t="str">
        <f>CHOOSE(MOD(43,3)+1,"CC-100 Bodega Central","CC-101 Sucursal Centro","CC-102 Sucursal Itagüí")</f>
        <v>CC-101 Sucursal Centro</v>
      </c>
      <c r="I218" s="27" t="str">
        <f>"IVA descontable factura "&amp;mercancia!A45</f>
        <v>IVA descontable factura FE-1044</v>
      </c>
      <c r="J218" s="30">
        <f ca="1">mercancia!I45</f>
        <v>1944137</v>
      </c>
      <c r="K218" s="30">
        <f>0</f>
        <v>0</v>
      </c>
      <c r="L218" s="31" t="str">
        <f>mercancia!A45</f>
        <v>FE-1044</v>
      </c>
    </row>
    <row r="219" spans="1:12" x14ac:dyDescent="0.35">
      <c r="A219" s="26" t="str">
        <f>"CC-MC-"&amp;TEXT(1043,"0000")</f>
        <v>CC-MC-1043</v>
      </c>
      <c r="B219" s="27" t="str">
        <f>"Causación Compra"</f>
        <v>Causación Compra</v>
      </c>
      <c r="C219" s="28">
        <f ca="1">mercancia!B45</f>
        <v>46133</v>
      </c>
      <c r="D219" s="69" t="str">
        <f>"236540"</f>
        <v>236540</v>
      </c>
      <c r="E219" s="27" t="str">
        <f>"Retención en la fuente - Compras"</f>
        <v>Retención en la fuente - Compras</v>
      </c>
      <c r="F219" s="27" t="str">
        <f ca="1">mercancia!C45</f>
        <v>Ferretería Antioqueña Ltda.</v>
      </c>
      <c r="G219" s="29" t="str" cm="1">
        <f t="array" aca="1" ref="G219" ca="1">INDIRECT("mercancia!D"&amp;(INT((ROW()-2)/5)+2))</f>
        <v>900.234.567-2</v>
      </c>
      <c r="H219" s="27" t="str">
        <f>CHOOSE(MOD(43,3)+1,"CC-100 Bodega Central","CC-101 Sucursal Centro","CC-102 Sucursal Itagüí")</f>
        <v>CC-101 Sucursal Centro</v>
      </c>
      <c r="I219" s="27" t="str">
        <f ca="1">"ReteFuente "&amp;TEXT(mercancia!K45,"0.0%")&amp;" sobre compra "&amp;mercancia!A45</f>
        <v>ReteFuente 03% sobre compra FE-1044</v>
      </c>
      <c r="J219" s="30">
        <f>0</f>
        <v>0</v>
      </c>
      <c r="K219" s="30">
        <f ca="1">mercancia!L45</f>
        <v>255808</v>
      </c>
      <c r="L219" s="31" t="str">
        <f>mercancia!A45</f>
        <v>FE-1044</v>
      </c>
    </row>
    <row r="220" spans="1:12" x14ac:dyDescent="0.35">
      <c r="A220" s="26" t="str">
        <f>"CC-MC-"&amp;TEXT(1043,"0000")</f>
        <v>CC-MC-1043</v>
      </c>
      <c r="B220" s="27" t="str">
        <f>"Causación Compra"</f>
        <v>Causación Compra</v>
      </c>
      <c r="C220" s="28">
        <f ca="1">mercancia!B45</f>
        <v>46133</v>
      </c>
      <c r="D220" s="69" t="str">
        <f>"236805"</f>
        <v>236805</v>
      </c>
      <c r="E220" s="27" t="str">
        <f>"Retención ICA - Medellín 11.04‰"</f>
        <v>Retención ICA - Medellín 11.04‰</v>
      </c>
      <c r="F220" s="27" t="str">
        <f ca="1">mercancia!C45</f>
        <v>Ferretería Antioqueña Ltda.</v>
      </c>
      <c r="G220" s="29" t="str" cm="1">
        <f t="array" aca="1" ref="G220" ca="1">INDIRECT("mercancia!D"&amp;(INT((ROW()-2)/5)+2))</f>
        <v>900.234.567-2</v>
      </c>
      <c r="H220" s="27" t="str">
        <f>CHOOSE(MOD(43,3)+1,"CC-100 Bodega Central","CC-101 Sucursal Centro","CC-102 Sucursal Itagüí")</f>
        <v>CC-101 Sucursal Centro</v>
      </c>
      <c r="I220" s="27" t="str">
        <f>"ReteICA Medellín sobre compra "&amp;mercancia!A45</f>
        <v>ReteICA Medellín sobre compra FE-1044</v>
      </c>
      <c r="J220" s="30">
        <f>0</f>
        <v>0</v>
      </c>
      <c r="K220" s="30">
        <f ca="1">mercancia!N45</f>
        <v>112965</v>
      </c>
      <c r="L220" s="31" t="str">
        <f>mercancia!A45</f>
        <v>FE-1044</v>
      </c>
    </row>
    <row r="221" spans="1:12" x14ac:dyDescent="0.35">
      <c r="A221" s="26" t="str">
        <f>"CC-MC-"&amp;TEXT(1043,"0000")</f>
        <v>CC-MC-1043</v>
      </c>
      <c r="B221" s="27" t="str">
        <f>"Causación Compra"</f>
        <v>Causación Compra</v>
      </c>
      <c r="C221" s="28">
        <f ca="1">mercancia!B45</f>
        <v>46133</v>
      </c>
      <c r="D221" s="69" t="str">
        <f>"220505"</f>
        <v>220505</v>
      </c>
      <c r="E221" s="27" t="str">
        <f>"Proveedores nacionales"</f>
        <v>Proveedores nacionales</v>
      </c>
      <c r="F221" s="27" t="str">
        <f ca="1">mercancia!C45</f>
        <v>Ferretería Antioqueña Ltda.</v>
      </c>
      <c r="G221" s="29" t="str" cm="1">
        <f t="array" aca="1" ref="G221" ca="1">INDIRECT("mercancia!D"&amp;(INT((ROW()-2)/5)+2))</f>
        <v>900.234.567-2</v>
      </c>
      <c r="H221" s="27" t="str">
        <f>CHOOSE(MOD(43,3)+1,"CC-100 Bodega Central","CC-101 Sucursal Centro","CC-102 Sucursal Itagüí")</f>
        <v>CC-101 Sucursal Centro</v>
      </c>
      <c r="I221" s="27" t="str">
        <f>"Cuenta por pagar proveedor - "&amp;mercancia!A45</f>
        <v>Cuenta por pagar proveedor - FE-1044</v>
      </c>
      <c r="J221" s="30">
        <f>0</f>
        <v>0</v>
      </c>
      <c r="K221" s="30">
        <f ca="1">mercancia!O45</f>
        <v>11807664</v>
      </c>
      <c r="L221" s="31" t="str">
        <f>mercancia!A45</f>
        <v>FE-1044</v>
      </c>
    </row>
    <row r="222" spans="1:12" x14ac:dyDescent="0.35">
      <c r="A222" s="20" t="str">
        <f>"CC-MC-"&amp;TEXT(1044,"0000")</f>
        <v>CC-MC-1044</v>
      </c>
      <c r="B222" s="21" t="str">
        <f>"Causación Compra"</f>
        <v>Causación Compra</v>
      </c>
      <c r="C222" s="22">
        <f ca="1">mercancia!B46</f>
        <v>46131</v>
      </c>
      <c r="D222" s="68" t="str">
        <f>"143505"</f>
        <v>143505</v>
      </c>
      <c r="E222" s="21" t="str">
        <f>"Mercancías no fabricadas por la empresa"</f>
        <v>Mercancías no fabricadas por la empresa</v>
      </c>
      <c r="F222" s="21" t="str">
        <f ca="1">mercancia!C46</f>
        <v>Tornillería Nacional del Valle de Aburrá</v>
      </c>
      <c r="G222" s="23" t="str" cm="1">
        <f t="array" aca="1" ref="G222" ca="1">INDIRECT("mercancia!D"&amp;(INT((ROW()-2)/5)+2))</f>
        <v>900.890.123-8</v>
      </c>
      <c r="H222" s="21" t="str">
        <f>CHOOSE(MOD(44,3)+1,"CC-100 Bodega Central","CC-101 Sucursal Centro","CC-102 Sucursal Itagüí")</f>
        <v>CC-102 Sucursal Itagüí</v>
      </c>
      <c r="I222" s="21" t="str">
        <f ca="1">"Compra mercancía - "&amp;mercancia!E46&amp;" - "&amp;mercancia!A46</f>
        <v>Compra mercancía - Cemento blanco x 5 kg - FE-1045</v>
      </c>
      <c r="J222" s="24">
        <f ca="1">mercancia!H46</f>
        <v>7023600</v>
      </c>
      <c r="K222" s="24">
        <f>0</f>
        <v>0</v>
      </c>
      <c r="L222" s="25" t="str">
        <f>mercancia!A46</f>
        <v>FE-1045</v>
      </c>
    </row>
    <row r="223" spans="1:12" x14ac:dyDescent="0.35">
      <c r="A223" s="20" t="str">
        <f>"CC-MC-"&amp;TEXT(1044,"0000")</f>
        <v>CC-MC-1044</v>
      </c>
      <c r="B223" s="21" t="str">
        <f>"Causación Compra"</f>
        <v>Causación Compra</v>
      </c>
      <c r="C223" s="22">
        <f ca="1">mercancia!B46</f>
        <v>46131</v>
      </c>
      <c r="D223" s="68" t="str">
        <f>"240805"</f>
        <v>240805</v>
      </c>
      <c r="E223" s="21" t="str">
        <f>"IVA descontable - 19%"</f>
        <v>IVA descontable - 19%</v>
      </c>
      <c r="F223" s="21" t="str">
        <f ca="1">mercancia!C46</f>
        <v>Tornillería Nacional del Valle de Aburrá</v>
      </c>
      <c r="G223" s="23" t="str" cm="1">
        <f t="array" aca="1" ref="G223" ca="1">INDIRECT("mercancia!D"&amp;(INT((ROW()-2)/5)+2))</f>
        <v>900.890.123-8</v>
      </c>
      <c r="H223" s="21" t="str">
        <f>CHOOSE(MOD(44,3)+1,"CC-100 Bodega Central","CC-101 Sucursal Centro","CC-102 Sucursal Itagüí")</f>
        <v>CC-102 Sucursal Itagüí</v>
      </c>
      <c r="I223" s="21" t="str">
        <f>"IVA descontable factura "&amp;mercancia!A46</f>
        <v>IVA descontable factura FE-1045</v>
      </c>
      <c r="J223" s="24">
        <f ca="1">mercancia!I46</f>
        <v>1334484</v>
      </c>
      <c r="K223" s="24">
        <f>0</f>
        <v>0</v>
      </c>
      <c r="L223" s="25" t="str">
        <f>mercancia!A46</f>
        <v>FE-1045</v>
      </c>
    </row>
    <row r="224" spans="1:12" x14ac:dyDescent="0.35">
      <c r="A224" s="20" t="str">
        <f>"CC-MC-"&amp;TEXT(1044,"0000")</f>
        <v>CC-MC-1044</v>
      </c>
      <c r="B224" s="21" t="str">
        <f>"Causación Compra"</f>
        <v>Causación Compra</v>
      </c>
      <c r="C224" s="22">
        <f ca="1">mercancia!B46</f>
        <v>46131</v>
      </c>
      <c r="D224" s="68" t="str">
        <f>"236540"</f>
        <v>236540</v>
      </c>
      <c r="E224" s="21" t="str">
        <f>"Retención en la fuente - Compras"</f>
        <v>Retención en la fuente - Compras</v>
      </c>
      <c r="F224" s="21" t="str">
        <f ca="1">mercancia!C46</f>
        <v>Tornillería Nacional del Valle de Aburrá</v>
      </c>
      <c r="G224" s="23" t="str" cm="1">
        <f t="array" aca="1" ref="G224" ca="1">INDIRECT("mercancia!D"&amp;(INT((ROW()-2)/5)+2))</f>
        <v>900.890.123-8</v>
      </c>
      <c r="H224" s="21" t="str">
        <f>CHOOSE(MOD(44,3)+1,"CC-100 Bodega Central","CC-101 Sucursal Centro","CC-102 Sucursal Itagüí")</f>
        <v>CC-102 Sucursal Itagüí</v>
      </c>
      <c r="I224" s="21" t="str">
        <f ca="1">"ReteFuente "&amp;TEXT(mercancia!K46,"0.0%")&amp;" sobre compra "&amp;mercancia!A46</f>
        <v>ReteFuente 04% sobre compra FE-1045</v>
      </c>
      <c r="J224" s="24">
        <f>0</f>
        <v>0</v>
      </c>
      <c r="K224" s="24">
        <f ca="1">mercancia!L46</f>
        <v>245826</v>
      </c>
      <c r="L224" s="25" t="str">
        <f>mercancia!A46</f>
        <v>FE-1045</v>
      </c>
    </row>
    <row r="225" spans="1:12" x14ac:dyDescent="0.35">
      <c r="A225" s="20" t="str">
        <f>"CC-MC-"&amp;TEXT(1044,"0000")</f>
        <v>CC-MC-1044</v>
      </c>
      <c r="B225" s="21" t="str">
        <f>"Causación Compra"</f>
        <v>Causación Compra</v>
      </c>
      <c r="C225" s="22">
        <f ca="1">mercancia!B46</f>
        <v>46131</v>
      </c>
      <c r="D225" s="68" t="str">
        <f>"236805"</f>
        <v>236805</v>
      </c>
      <c r="E225" s="21" t="str">
        <f>"Retención ICA - Medellín 11.04‰"</f>
        <v>Retención ICA - Medellín 11.04‰</v>
      </c>
      <c r="F225" s="21" t="str">
        <f ca="1">mercancia!C46</f>
        <v>Tornillería Nacional del Valle de Aburrá</v>
      </c>
      <c r="G225" s="23" t="str" cm="1">
        <f t="array" aca="1" ref="G225" ca="1">INDIRECT("mercancia!D"&amp;(INT((ROW()-2)/5)+2))</f>
        <v>900.890.123-8</v>
      </c>
      <c r="H225" s="21" t="str">
        <f>CHOOSE(MOD(44,3)+1,"CC-100 Bodega Central","CC-101 Sucursal Centro","CC-102 Sucursal Itagüí")</f>
        <v>CC-102 Sucursal Itagüí</v>
      </c>
      <c r="I225" s="21" t="str">
        <f>"ReteICA Medellín sobre compra "&amp;mercancia!A46</f>
        <v>ReteICA Medellín sobre compra FE-1045</v>
      </c>
      <c r="J225" s="24">
        <f>0</f>
        <v>0</v>
      </c>
      <c r="K225" s="24">
        <f ca="1">mercancia!N46</f>
        <v>77541</v>
      </c>
      <c r="L225" s="25" t="str">
        <f>mercancia!A46</f>
        <v>FE-1045</v>
      </c>
    </row>
    <row r="226" spans="1:12" x14ac:dyDescent="0.35">
      <c r="A226" s="20" t="str">
        <f>"CC-MC-"&amp;TEXT(1044,"0000")</f>
        <v>CC-MC-1044</v>
      </c>
      <c r="B226" s="21" t="str">
        <f>"Causación Compra"</f>
        <v>Causación Compra</v>
      </c>
      <c r="C226" s="22">
        <f ca="1">mercancia!B46</f>
        <v>46131</v>
      </c>
      <c r="D226" s="68" t="str">
        <f>"220505"</f>
        <v>220505</v>
      </c>
      <c r="E226" s="21" t="str">
        <f>"Proveedores nacionales"</f>
        <v>Proveedores nacionales</v>
      </c>
      <c r="F226" s="21" t="str">
        <f ca="1">mercancia!C46</f>
        <v>Tornillería Nacional del Valle de Aburrá</v>
      </c>
      <c r="G226" s="23" t="str" cm="1">
        <f t="array" aca="1" ref="G226" ca="1">INDIRECT("mercancia!D"&amp;(INT((ROW()-2)/5)+2))</f>
        <v>900.890.123-8</v>
      </c>
      <c r="H226" s="21" t="str">
        <f>CHOOSE(MOD(44,3)+1,"CC-100 Bodega Central","CC-101 Sucursal Centro","CC-102 Sucursal Itagüí")</f>
        <v>CC-102 Sucursal Itagüí</v>
      </c>
      <c r="I226" s="21" t="str">
        <f>"Cuenta por pagar proveedor - "&amp;mercancia!A46</f>
        <v>Cuenta por pagar proveedor - FE-1045</v>
      </c>
      <c r="J226" s="24">
        <f>0</f>
        <v>0</v>
      </c>
      <c r="K226" s="24">
        <f ca="1">mercancia!O46</f>
        <v>8034717</v>
      </c>
      <c r="L226" s="25" t="str">
        <f>mercancia!A46</f>
        <v>FE-1045</v>
      </c>
    </row>
    <row r="227" spans="1:12" x14ac:dyDescent="0.35">
      <c r="A227" s="26" t="str">
        <f>"CC-MC-"&amp;TEXT(1045,"0000")</f>
        <v>CC-MC-1045</v>
      </c>
      <c r="B227" s="27" t="str">
        <f>"Causación Compra"</f>
        <v>Causación Compra</v>
      </c>
      <c r="C227" s="28">
        <f ca="1">mercancia!B47</f>
        <v>46133</v>
      </c>
      <c r="D227" s="69" t="str">
        <f>"143505"</f>
        <v>143505</v>
      </c>
      <c r="E227" s="27" t="str">
        <f>"Mercancías no fabricadas por la empresa"</f>
        <v>Mercancías no fabricadas por la empresa</v>
      </c>
      <c r="F227" s="27" t="str">
        <f ca="1">mercancia!C47</f>
        <v>El Constructor S.A.S.</v>
      </c>
      <c r="G227" s="29" t="str" cm="1">
        <f t="array" aca="1" ref="G227" ca="1">INDIRECT("mercancia!D"&amp;(INT((ROW()-2)/5)+2))</f>
        <v>901.123.456-1</v>
      </c>
      <c r="H227" s="27" t="str">
        <f>CHOOSE(MOD(45,3)+1,"CC-100 Bodega Central","CC-101 Sucursal Centro","CC-102 Sucursal Itagüí")</f>
        <v>CC-100 Bodega Central</v>
      </c>
      <c r="I227" s="27" t="str">
        <f ca="1">"Compra mercancía - "&amp;mercancia!E47&amp;" - "&amp;mercancia!A47</f>
        <v>Compra mercancía - Bloque de concreto 10x20x40 - FE-1046</v>
      </c>
      <c r="J227" s="30">
        <f ca="1">mercancia!H47</f>
        <v>11114600</v>
      </c>
      <c r="K227" s="30">
        <f>0</f>
        <v>0</v>
      </c>
      <c r="L227" s="31" t="str">
        <f>mercancia!A47</f>
        <v>FE-1046</v>
      </c>
    </row>
    <row r="228" spans="1:12" x14ac:dyDescent="0.35">
      <c r="A228" s="26" t="str">
        <f>"CC-MC-"&amp;TEXT(1045,"0000")</f>
        <v>CC-MC-1045</v>
      </c>
      <c r="B228" s="27" t="str">
        <f>"Causación Compra"</f>
        <v>Causación Compra</v>
      </c>
      <c r="C228" s="28">
        <f ca="1">mercancia!B47</f>
        <v>46133</v>
      </c>
      <c r="D228" s="69" t="str">
        <f>"240805"</f>
        <v>240805</v>
      </c>
      <c r="E228" s="27" t="str">
        <f>"IVA descontable - 19%"</f>
        <v>IVA descontable - 19%</v>
      </c>
      <c r="F228" s="27" t="str">
        <f ca="1">mercancia!C47</f>
        <v>El Constructor S.A.S.</v>
      </c>
      <c r="G228" s="29" t="str" cm="1">
        <f t="array" aca="1" ref="G228" ca="1">INDIRECT("mercancia!D"&amp;(INT((ROW()-2)/5)+2))</f>
        <v>901.123.456-1</v>
      </c>
      <c r="H228" s="27" t="str">
        <f>CHOOSE(MOD(45,3)+1,"CC-100 Bodega Central","CC-101 Sucursal Centro","CC-102 Sucursal Itagüí")</f>
        <v>CC-100 Bodega Central</v>
      </c>
      <c r="I228" s="27" t="str">
        <f>"IVA descontable factura "&amp;mercancia!A47</f>
        <v>IVA descontable factura FE-1046</v>
      </c>
      <c r="J228" s="30">
        <f ca="1">mercancia!I47</f>
        <v>2111774</v>
      </c>
      <c r="K228" s="30">
        <f>0</f>
        <v>0</v>
      </c>
      <c r="L228" s="31" t="str">
        <f>mercancia!A47</f>
        <v>FE-1046</v>
      </c>
    </row>
    <row r="229" spans="1:12" x14ac:dyDescent="0.35">
      <c r="A229" s="26" t="str">
        <f>"CC-MC-"&amp;TEXT(1045,"0000")</f>
        <v>CC-MC-1045</v>
      </c>
      <c r="B229" s="27" t="str">
        <f>"Causación Compra"</f>
        <v>Causación Compra</v>
      </c>
      <c r="C229" s="28">
        <f ca="1">mercancia!B47</f>
        <v>46133</v>
      </c>
      <c r="D229" s="69" t="str">
        <f>"236540"</f>
        <v>236540</v>
      </c>
      <c r="E229" s="27" t="str">
        <f>"Retención en la fuente - Compras"</f>
        <v>Retención en la fuente - Compras</v>
      </c>
      <c r="F229" s="27" t="str">
        <f ca="1">mercancia!C47</f>
        <v>El Constructor S.A.S.</v>
      </c>
      <c r="G229" s="29" t="str" cm="1">
        <f t="array" aca="1" ref="G229" ca="1">INDIRECT("mercancia!D"&amp;(INT((ROW()-2)/5)+2))</f>
        <v>901.123.456-1</v>
      </c>
      <c r="H229" s="27" t="str">
        <f>CHOOSE(MOD(45,3)+1,"CC-100 Bodega Central","CC-101 Sucursal Centro","CC-102 Sucursal Itagüí")</f>
        <v>CC-100 Bodega Central</v>
      </c>
      <c r="I229" s="27" t="str">
        <f ca="1">"ReteFuente "&amp;TEXT(mercancia!K47,"0.0%")&amp;" sobre compra "&amp;mercancia!A47</f>
        <v>ReteFuente 04% sobre compra FE-1046</v>
      </c>
      <c r="J229" s="30">
        <f>0</f>
        <v>0</v>
      </c>
      <c r="K229" s="30">
        <f ca="1">mercancia!L47</f>
        <v>389011</v>
      </c>
      <c r="L229" s="31" t="str">
        <f>mercancia!A47</f>
        <v>FE-1046</v>
      </c>
    </row>
    <row r="230" spans="1:12" x14ac:dyDescent="0.35">
      <c r="A230" s="26" t="str">
        <f>"CC-MC-"&amp;TEXT(1045,"0000")</f>
        <v>CC-MC-1045</v>
      </c>
      <c r="B230" s="27" t="str">
        <f>"Causación Compra"</f>
        <v>Causación Compra</v>
      </c>
      <c r="C230" s="28">
        <f ca="1">mercancia!B47</f>
        <v>46133</v>
      </c>
      <c r="D230" s="69" t="str">
        <f>"236805"</f>
        <v>236805</v>
      </c>
      <c r="E230" s="27" t="str">
        <f>"Retención ICA - Medellín 11.04‰"</f>
        <v>Retención ICA - Medellín 11.04‰</v>
      </c>
      <c r="F230" s="27" t="str">
        <f ca="1">mercancia!C47</f>
        <v>El Constructor S.A.S.</v>
      </c>
      <c r="G230" s="29" t="str" cm="1">
        <f t="array" aca="1" ref="G230" ca="1">INDIRECT("mercancia!D"&amp;(INT((ROW()-2)/5)+2))</f>
        <v>901.123.456-1</v>
      </c>
      <c r="H230" s="27" t="str">
        <f>CHOOSE(MOD(45,3)+1,"CC-100 Bodega Central","CC-101 Sucursal Centro","CC-102 Sucursal Itagüí")</f>
        <v>CC-100 Bodega Central</v>
      </c>
      <c r="I230" s="27" t="str">
        <f>"ReteICA Medellín sobre compra "&amp;mercancia!A47</f>
        <v>ReteICA Medellín sobre compra FE-1046</v>
      </c>
      <c r="J230" s="30">
        <f>0</f>
        <v>0</v>
      </c>
      <c r="K230" s="30">
        <f ca="1">mercancia!N47</f>
        <v>122705</v>
      </c>
      <c r="L230" s="31" t="str">
        <f>mercancia!A47</f>
        <v>FE-1046</v>
      </c>
    </row>
    <row r="231" spans="1:12" x14ac:dyDescent="0.35">
      <c r="A231" s="26" t="str">
        <f>"CC-MC-"&amp;TEXT(1045,"0000")</f>
        <v>CC-MC-1045</v>
      </c>
      <c r="B231" s="27" t="str">
        <f>"Causación Compra"</f>
        <v>Causación Compra</v>
      </c>
      <c r="C231" s="28">
        <f ca="1">mercancia!B47</f>
        <v>46133</v>
      </c>
      <c r="D231" s="69" t="str">
        <f>"220505"</f>
        <v>220505</v>
      </c>
      <c r="E231" s="27" t="str">
        <f>"Proveedores nacionales"</f>
        <v>Proveedores nacionales</v>
      </c>
      <c r="F231" s="27" t="str">
        <f ca="1">mercancia!C47</f>
        <v>El Constructor S.A.S.</v>
      </c>
      <c r="G231" s="29" t="str" cm="1">
        <f t="array" aca="1" ref="G231" ca="1">INDIRECT("mercancia!D"&amp;(INT((ROW()-2)/5)+2))</f>
        <v>901.123.456-1</v>
      </c>
      <c r="H231" s="27" t="str">
        <f>CHOOSE(MOD(45,3)+1,"CC-100 Bodega Central","CC-101 Sucursal Centro","CC-102 Sucursal Itagüí")</f>
        <v>CC-100 Bodega Central</v>
      </c>
      <c r="I231" s="27" t="str">
        <f>"Cuenta por pagar proveedor - "&amp;mercancia!A47</f>
        <v>Cuenta por pagar proveedor - FE-1046</v>
      </c>
      <c r="J231" s="30">
        <f>0</f>
        <v>0</v>
      </c>
      <c r="K231" s="30">
        <f ca="1">mercancia!O47</f>
        <v>12714658</v>
      </c>
      <c r="L231" s="31" t="str">
        <f>mercancia!A47</f>
        <v>FE-1046</v>
      </c>
    </row>
    <row r="232" spans="1:12" x14ac:dyDescent="0.35">
      <c r="A232" s="20" t="str">
        <f>"CC-MC-"&amp;TEXT(1046,"0000")</f>
        <v>CC-MC-1046</v>
      </c>
      <c r="B232" s="21" t="str">
        <f>"Causación Compra"</f>
        <v>Causación Compra</v>
      </c>
      <c r="C232" s="22">
        <f ca="1">mercancia!B48</f>
        <v>46081</v>
      </c>
      <c r="D232" s="68" t="str">
        <f>"143505"</f>
        <v>143505</v>
      </c>
      <c r="E232" s="21" t="str">
        <f>"Mercancías no fabricadas por la empresa"</f>
        <v>Mercancías no fabricadas por la empresa</v>
      </c>
      <c r="F232" s="21" t="str">
        <f ca="1">mercancia!C48</f>
        <v>Aceros de la Montaña S.A.S.</v>
      </c>
      <c r="G232" s="23" t="str" cm="1">
        <f t="array" aca="1" ref="G232" ca="1">INDIRECT("mercancia!D"&amp;(INT((ROW()-2)/5)+2))</f>
        <v>900.123.456-1</v>
      </c>
      <c r="H232" s="21" t="str">
        <f>CHOOSE(MOD(46,3)+1,"CC-100 Bodega Central","CC-101 Sucursal Centro","CC-102 Sucursal Itagüí")</f>
        <v>CC-101 Sucursal Centro</v>
      </c>
      <c r="I232" s="21" t="str">
        <f ca="1">"Compra mercancía - "&amp;mercancia!E48&amp;" - "&amp;mercancia!A48</f>
        <v>Compra mercancía - Ferromax Colombia S.A.S. - FE-1047</v>
      </c>
      <c r="J232" s="24">
        <f ca="1">mercancia!H48</f>
        <v>6681000</v>
      </c>
      <c r="K232" s="24">
        <f>0</f>
        <v>0</v>
      </c>
      <c r="L232" s="25" t="str">
        <f>mercancia!A48</f>
        <v>FE-1047</v>
      </c>
    </row>
    <row r="233" spans="1:12" x14ac:dyDescent="0.35">
      <c r="A233" s="20" t="str">
        <f>"CC-MC-"&amp;TEXT(1046,"0000")</f>
        <v>CC-MC-1046</v>
      </c>
      <c r="B233" s="21" t="str">
        <f>"Causación Compra"</f>
        <v>Causación Compra</v>
      </c>
      <c r="C233" s="22">
        <f ca="1">mercancia!B48</f>
        <v>46081</v>
      </c>
      <c r="D233" s="68" t="str">
        <f>"240805"</f>
        <v>240805</v>
      </c>
      <c r="E233" s="21" t="str">
        <f>"IVA descontable - 19%"</f>
        <v>IVA descontable - 19%</v>
      </c>
      <c r="F233" s="21" t="str">
        <f ca="1">mercancia!C48</f>
        <v>Aceros de la Montaña S.A.S.</v>
      </c>
      <c r="G233" s="23" t="str" cm="1">
        <f t="array" aca="1" ref="G233" ca="1">INDIRECT("mercancia!D"&amp;(INT((ROW()-2)/5)+2))</f>
        <v>900.123.456-1</v>
      </c>
      <c r="H233" s="21" t="str">
        <f>CHOOSE(MOD(46,3)+1,"CC-100 Bodega Central","CC-101 Sucursal Centro","CC-102 Sucursal Itagüí")</f>
        <v>CC-101 Sucursal Centro</v>
      </c>
      <c r="I233" s="21" t="str">
        <f>"IVA descontable factura "&amp;mercancia!A48</f>
        <v>IVA descontable factura FE-1047</v>
      </c>
      <c r="J233" s="24">
        <f ca="1">mercancia!I48</f>
        <v>1269390</v>
      </c>
      <c r="K233" s="24">
        <f>0</f>
        <v>0</v>
      </c>
      <c r="L233" s="25" t="str">
        <f>mercancia!A48</f>
        <v>FE-1047</v>
      </c>
    </row>
    <row r="234" spans="1:12" x14ac:dyDescent="0.35">
      <c r="A234" s="20" t="str">
        <f>"CC-MC-"&amp;TEXT(1046,"0000")</f>
        <v>CC-MC-1046</v>
      </c>
      <c r="B234" s="21" t="str">
        <f>"Causación Compra"</f>
        <v>Causación Compra</v>
      </c>
      <c r="C234" s="22">
        <f ca="1">mercancia!B48</f>
        <v>46081</v>
      </c>
      <c r="D234" s="68" t="str">
        <f>"236540"</f>
        <v>236540</v>
      </c>
      <c r="E234" s="21" t="str">
        <f>"Retención en la fuente - Compras"</f>
        <v>Retención en la fuente - Compras</v>
      </c>
      <c r="F234" s="21" t="str">
        <f ca="1">mercancia!C48</f>
        <v>Aceros de la Montaña S.A.S.</v>
      </c>
      <c r="G234" s="23" t="str" cm="1">
        <f t="array" aca="1" ref="G234" ca="1">INDIRECT("mercancia!D"&amp;(INT((ROW()-2)/5)+2))</f>
        <v>900.123.456-1</v>
      </c>
      <c r="H234" s="21" t="str">
        <f>CHOOSE(MOD(46,3)+1,"CC-100 Bodega Central","CC-101 Sucursal Centro","CC-102 Sucursal Itagüí")</f>
        <v>CC-101 Sucursal Centro</v>
      </c>
      <c r="I234" s="21" t="str">
        <f ca="1">"ReteFuente "&amp;TEXT(mercancia!K48,"0.0%")&amp;" sobre compra "&amp;mercancia!A48</f>
        <v>ReteFuente 03% sobre compra FE-1047</v>
      </c>
      <c r="J234" s="24">
        <f>0</f>
        <v>0</v>
      </c>
      <c r="K234" s="24">
        <f ca="1">mercancia!L48</f>
        <v>167025</v>
      </c>
      <c r="L234" s="25" t="str">
        <f>mercancia!A48</f>
        <v>FE-1047</v>
      </c>
    </row>
    <row r="235" spans="1:12" x14ac:dyDescent="0.35">
      <c r="A235" s="20" t="str">
        <f>"CC-MC-"&amp;TEXT(1046,"0000")</f>
        <v>CC-MC-1046</v>
      </c>
      <c r="B235" s="21" t="str">
        <f>"Causación Compra"</f>
        <v>Causación Compra</v>
      </c>
      <c r="C235" s="22">
        <f ca="1">mercancia!B48</f>
        <v>46081</v>
      </c>
      <c r="D235" s="68" t="str">
        <f>"236805"</f>
        <v>236805</v>
      </c>
      <c r="E235" s="21" t="str">
        <f>"Retención ICA - Medellín 11.04‰"</f>
        <v>Retención ICA - Medellín 11.04‰</v>
      </c>
      <c r="F235" s="21" t="str">
        <f ca="1">mercancia!C48</f>
        <v>Aceros de la Montaña S.A.S.</v>
      </c>
      <c r="G235" s="23" t="str" cm="1">
        <f t="array" aca="1" ref="G235" ca="1">INDIRECT("mercancia!D"&amp;(INT((ROW()-2)/5)+2))</f>
        <v>900.123.456-1</v>
      </c>
      <c r="H235" s="21" t="str">
        <f>CHOOSE(MOD(46,3)+1,"CC-100 Bodega Central","CC-101 Sucursal Centro","CC-102 Sucursal Itagüí")</f>
        <v>CC-101 Sucursal Centro</v>
      </c>
      <c r="I235" s="21" t="str">
        <f>"ReteICA Medellín sobre compra "&amp;mercancia!A48</f>
        <v>ReteICA Medellín sobre compra FE-1047</v>
      </c>
      <c r="J235" s="24">
        <f>0</f>
        <v>0</v>
      </c>
      <c r="K235" s="24">
        <f ca="1">mercancia!N48</f>
        <v>73758</v>
      </c>
      <c r="L235" s="25" t="str">
        <f>mercancia!A48</f>
        <v>FE-1047</v>
      </c>
    </row>
    <row r="236" spans="1:12" x14ac:dyDescent="0.35">
      <c r="A236" s="20" t="str">
        <f>"CC-MC-"&amp;TEXT(1046,"0000")</f>
        <v>CC-MC-1046</v>
      </c>
      <c r="B236" s="21" t="str">
        <f>"Causación Compra"</f>
        <v>Causación Compra</v>
      </c>
      <c r="C236" s="22">
        <f ca="1">mercancia!B48</f>
        <v>46081</v>
      </c>
      <c r="D236" s="68" t="str">
        <f>"220505"</f>
        <v>220505</v>
      </c>
      <c r="E236" s="21" t="str">
        <f>"Proveedores nacionales"</f>
        <v>Proveedores nacionales</v>
      </c>
      <c r="F236" s="21" t="str">
        <f ca="1">mercancia!C48</f>
        <v>Aceros de la Montaña S.A.S.</v>
      </c>
      <c r="G236" s="23" t="str" cm="1">
        <f t="array" aca="1" ref="G236" ca="1">INDIRECT("mercancia!D"&amp;(INT((ROW()-2)/5)+2))</f>
        <v>900.123.456-1</v>
      </c>
      <c r="H236" s="21" t="str">
        <f>CHOOSE(MOD(46,3)+1,"CC-100 Bodega Central","CC-101 Sucursal Centro","CC-102 Sucursal Itagüí")</f>
        <v>CC-101 Sucursal Centro</v>
      </c>
      <c r="I236" s="21" t="str">
        <f>"Cuenta por pagar proveedor - "&amp;mercancia!A48</f>
        <v>Cuenta por pagar proveedor - FE-1047</v>
      </c>
      <c r="J236" s="24">
        <f>0</f>
        <v>0</v>
      </c>
      <c r="K236" s="24">
        <f ca="1">mercancia!O48</f>
        <v>7709607</v>
      </c>
      <c r="L236" s="25" t="str">
        <f>mercancia!A48</f>
        <v>FE-1047</v>
      </c>
    </row>
    <row r="237" spans="1:12" x14ac:dyDescent="0.35">
      <c r="A237" s="26" t="str">
        <f>"CC-MC-"&amp;TEXT(1047,"0000")</f>
        <v>CC-MC-1047</v>
      </c>
      <c r="B237" s="27" t="str">
        <f>"Causación Compra"</f>
        <v>Causación Compra</v>
      </c>
      <c r="C237" s="28">
        <f ca="1">mercancia!B49</f>
        <v>46027</v>
      </c>
      <c r="D237" s="69" t="str">
        <f>"143505"</f>
        <v>143505</v>
      </c>
      <c r="E237" s="27" t="str">
        <f>"Mercancías no fabricadas por la empresa"</f>
        <v>Mercancías no fabricadas por la empresa</v>
      </c>
      <c r="F237" s="27" t="str">
        <f ca="1">mercancia!C49</f>
        <v>Ferretería Antioqueña Ltda.</v>
      </c>
      <c r="G237" s="29" t="str" cm="1">
        <f t="array" aca="1" ref="G237" ca="1">INDIRECT("mercancia!D"&amp;(INT((ROW()-2)/5)+2))</f>
        <v>900.234.567-2</v>
      </c>
      <c r="H237" s="27" t="str">
        <f>CHOOSE(MOD(47,3)+1,"CC-100 Bodega Central","CC-101 Sucursal Centro","CC-102 Sucursal Itagüí")</f>
        <v>CC-102 Sucursal Itagüí</v>
      </c>
      <c r="I237" s="27" t="str">
        <f ca="1">"Compra mercancía - "&amp;mercancia!E49&amp;" - "&amp;mercancia!A49</f>
        <v>Compra mercancía - Pala cuadrada con cabo - FE-1048</v>
      </c>
      <c r="J237" s="30">
        <f ca="1">mercancia!H49</f>
        <v>3330600</v>
      </c>
      <c r="K237" s="30">
        <f>0</f>
        <v>0</v>
      </c>
      <c r="L237" s="31" t="str">
        <f>mercancia!A49</f>
        <v>FE-1048</v>
      </c>
    </row>
    <row r="238" spans="1:12" x14ac:dyDescent="0.35">
      <c r="A238" s="26" t="str">
        <f>"CC-MC-"&amp;TEXT(1047,"0000")</f>
        <v>CC-MC-1047</v>
      </c>
      <c r="B238" s="27" t="str">
        <f>"Causación Compra"</f>
        <v>Causación Compra</v>
      </c>
      <c r="C238" s="28">
        <f ca="1">mercancia!B49</f>
        <v>46027</v>
      </c>
      <c r="D238" s="69" t="str">
        <f>"240805"</f>
        <v>240805</v>
      </c>
      <c r="E238" s="27" t="str">
        <f>"IVA descontable - 19%"</f>
        <v>IVA descontable - 19%</v>
      </c>
      <c r="F238" s="27" t="str">
        <f ca="1">mercancia!C49</f>
        <v>Ferretería Antioqueña Ltda.</v>
      </c>
      <c r="G238" s="29" t="str" cm="1">
        <f t="array" aca="1" ref="G238" ca="1">INDIRECT("mercancia!D"&amp;(INT((ROW()-2)/5)+2))</f>
        <v>900.234.567-2</v>
      </c>
      <c r="H238" s="27" t="str">
        <f>CHOOSE(MOD(47,3)+1,"CC-100 Bodega Central","CC-101 Sucursal Centro","CC-102 Sucursal Itagüí")</f>
        <v>CC-102 Sucursal Itagüí</v>
      </c>
      <c r="I238" s="27" t="str">
        <f>"IVA descontable factura "&amp;mercancia!A49</f>
        <v>IVA descontable factura FE-1048</v>
      </c>
      <c r="J238" s="30">
        <f ca="1">mercancia!I49</f>
        <v>632814</v>
      </c>
      <c r="K238" s="30">
        <f>0</f>
        <v>0</v>
      </c>
      <c r="L238" s="31" t="str">
        <f>mercancia!A49</f>
        <v>FE-1048</v>
      </c>
    </row>
    <row r="239" spans="1:12" x14ac:dyDescent="0.35">
      <c r="A239" s="26" t="str">
        <f>"CC-MC-"&amp;TEXT(1047,"0000")</f>
        <v>CC-MC-1047</v>
      </c>
      <c r="B239" s="27" t="str">
        <f>"Causación Compra"</f>
        <v>Causación Compra</v>
      </c>
      <c r="C239" s="28">
        <f ca="1">mercancia!B49</f>
        <v>46027</v>
      </c>
      <c r="D239" s="69" t="str">
        <f>"236540"</f>
        <v>236540</v>
      </c>
      <c r="E239" s="27" t="str">
        <f>"Retención en la fuente - Compras"</f>
        <v>Retención en la fuente - Compras</v>
      </c>
      <c r="F239" s="27" t="str">
        <f ca="1">mercancia!C49</f>
        <v>Ferretería Antioqueña Ltda.</v>
      </c>
      <c r="G239" s="29" t="str" cm="1">
        <f t="array" aca="1" ref="G239" ca="1">INDIRECT("mercancia!D"&amp;(INT((ROW()-2)/5)+2))</f>
        <v>900.234.567-2</v>
      </c>
      <c r="H239" s="27" t="str">
        <f>CHOOSE(MOD(47,3)+1,"CC-100 Bodega Central","CC-101 Sucursal Centro","CC-102 Sucursal Itagüí")</f>
        <v>CC-102 Sucursal Itagüí</v>
      </c>
      <c r="I239" s="27" t="str">
        <f ca="1">"ReteFuente "&amp;TEXT(mercancia!K49,"0.0%")&amp;" sobre compra "&amp;mercancia!A49</f>
        <v>ReteFuente 03% sobre compra FE-1048</v>
      </c>
      <c r="J239" s="30">
        <f>0</f>
        <v>0</v>
      </c>
      <c r="K239" s="30">
        <f ca="1">mercancia!L49</f>
        <v>83265</v>
      </c>
      <c r="L239" s="31" t="str">
        <f>mercancia!A49</f>
        <v>FE-1048</v>
      </c>
    </row>
    <row r="240" spans="1:12" x14ac:dyDescent="0.35">
      <c r="A240" s="26" t="str">
        <f>"CC-MC-"&amp;TEXT(1047,"0000")</f>
        <v>CC-MC-1047</v>
      </c>
      <c r="B240" s="27" t="str">
        <f>"Causación Compra"</f>
        <v>Causación Compra</v>
      </c>
      <c r="C240" s="28">
        <f ca="1">mercancia!B49</f>
        <v>46027</v>
      </c>
      <c r="D240" s="69" t="str">
        <f>"236805"</f>
        <v>236805</v>
      </c>
      <c r="E240" s="27" t="str">
        <f>"Retención ICA - Medellín 11.04‰"</f>
        <v>Retención ICA - Medellín 11.04‰</v>
      </c>
      <c r="F240" s="27" t="str">
        <f ca="1">mercancia!C49</f>
        <v>Ferretería Antioqueña Ltda.</v>
      </c>
      <c r="G240" s="29" t="str" cm="1">
        <f t="array" aca="1" ref="G240" ca="1">INDIRECT("mercancia!D"&amp;(INT((ROW()-2)/5)+2))</f>
        <v>900.234.567-2</v>
      </c>
      <c r="H240" s="27" t="str">
        <f>CHOOSE(MOD(47,3)+1,"CC-100 Bodega Central","CC-101 Sucursal Centro","CC-102 Sucursal Itagüí")</f>
        <v>CC-102 Sucursal Itagüí</v>
      </c>
      <c r="I240" s="27" t="str">
        <f>"ReteICA Medellín sobre compra "&amp;mercancia!A49</f>
        <v>ReteICA Medellín sobre compra FE-1048</v>
      </c>
      <c r="J240" s="30">
        <f>0</f>
        <v>0</v>
      </c>
      <c r="K240" s="30">
        <f ca="1">mercancia!N49</f>
        <v>36770</v>
      </c>
      <c r="L240" s="31" t="str">
        <f>mercancia!A49</f>
        <v>FE-1048</v>
      </c>
    </row>
    <row r="241" spans="1:12" x14ac:dyDescent="0.35">
      <c r="A241" s="26" t="str">
        <f>"CC-MC-"&amp;TEXT(1047,"0000")</f>
        <v>CC-MC-1047</v>
      </c>
      <c r="B241" s="27" t="str">
        <f>"Causación Compra"</f>
        <v>Causación Compra</v>
      </c>
      <c r="C241" s="28">
        <f ca="1">mercancia!B49</f>
        <v>46027</v>
      </c>
      <c r="D241" s="69" t="str">
        <f>"220505"</f>
        <v>220505</v>
      </c>
      <c r="E241" s="27" t="str">
        <f>"Proveedores nacionales"</f>
        <v>Proveedores nacionales</v>
      </c>
      <c r="F241" s="27" t="str">
        <f ca="1">mercancia!C49</f>
        <v>Ferretería Antioqueña Ltda.</v>
      </c>
      <c r="G241" s="29" t="str" cm="1">
        <f t="array" aca="1" ref="G241" ca="1">INDIRECT("mercancia!D"&amp;(INT((ROW()-2)/5)+2))</f>
        <v>900.234.567-2</v>
      </c>
      <c r="H241" s="27" t="str">
        <f>CHOOSE(MOD(47,3)+1,"CC-100 Bodega Central","CC-101 Sucursal Centro","CC-102 Sucursal Itagüí")</f>
        <v>CC-102 Sucursal Itagüí</v>
      </c>
      <c r="I241" s="27" t="str">
        <f>"Cuenta por pagar proveedor - "&amp;mercancia!A49</f>
        <v>Cuenta por pagar proveedor - FE-1048</v>
      </c>
      <c r="J241" s="30">
        <f>0</f>
        <v>0</v>
      </c>
      <c r="K241" s="30">
        <f ca="1">mercancia!O49</f>
        <v>3843379</v>
      </c>
      <c r="L241" s="31" t="str">
        <f>mercancia!A49</f>
        <v>FE-1048</v>
      </c>
    </row>
    <row r="242" spans="1:12" x14ac:dyDescent="0.35">
      <c r="A242" s="20" t="str">
        <f>"CC-MC-"&amp;TEXT(1048,"0000")</f>
        <v>CC-MC-1048</v>
      </c>
      <c r="B242" s="21" t="str">
        <f>"Causación Compra"</f>
        <v>Causación Compra</v>
      </c>
      <c r="C242" s="22">
        <f ca="1">mercancia!B50</f>
        <v>46034</v>
      </c>
      <c r="D242" s="68" t="str">
        <f>"143505"</f>
        <v>143505</v>
      </c>
      <c r="E242" s="21" t="str">
        <f>"Mercancías no fabricadas por la empresa"</f>
        <v>Mercancías no fabricadas por la empresa</v>
      </c>
      <c r="F242" s="21" t="str">
        <f ca="1">mercancia!C50</f>
        <v>Ferretería Antioqueña Ltda.</v>
      </c>
      <c r="G242" s="23" t="str" cm="1">
        <f t="array" aca="1" ref="G242" ca="1">INDIRECT("mercancia!D"&amp;(INT((ROW()-2)/5)+2))</f>
        <v>900.234.567-2</v>
      </c>
      <c r="H242" s="21" t="str">
        <f>CHOOSE(MOD(48,3)+1,"CC-100 Bodega Central","CC-101 Sucursal Centro","CC-102 Sucursal Itagüí")</f>
        <v>CC-100 Bodega Central</v>
      </c>
      <c r="I242" s="21" t="str">
        <f ca="1">"Compra mercancía - "&amp;mercancia!E50&amp;" - "&amp;mercancia!A50</f>
        <v>Compra mercancía - Pinturas y Acabados Aburrá S.A.S. - FE-1049</v>
      </c>
      <c r="J242" s="24">
        <f ca="1">mercancia!H50</f>
        <v>5097600</v>
      </c>
      <c r="K242" s="24">
        <f>0</f>
        <v>0</v>
      </c>
      <c r="L242" s="25" t="str">
        <f>mercancia!A50</f>
        <v>FE-1049</v>
      </c>
    </row>
    <row r="243" spans="1:12" x14ac:dyDescent="0.35">
      <c r="A243" s="20" t="str">
        <f>"CC-MC-"&amp;TEXT(1048,"0000")</f>
        <v>CC-MC-1048</v>
      </c>
      <c r="B243" s="21" t="str">
        <f>"Causación Compra"</f>
        <v>Causación Compra</v>
      </c>
      <c r="C243" s="22">
        <f ca="1">mercancia!B50</f>
        <v>46034</v>
      </c>
      <c r="D243" s="68" t="str">
        <f>"240805"</f>
        <v>240805</v>
      </c>
      <c r="E243" s="21" t="str">
        <f>"IVA descontable - 19%"</f>
        <v>IVA descontable - 19%</v>
      </c>
      <c r="F243" s="21" t="str">
        <f ca="1">mercancia!C50</f>
        <v>Ferretería Antioqueña Ltda.</v>
      </c>
      <c r="G243" s="23" t="str" cm="1">
        <f t="array" aca="1" ref="G243" ca="1">INDIRECT("mercancia!D"&amp;(INT((ROW()-2)/5)+2))</f>
        <v>900.234.567-2</v>
      </c>
      <c r="H243" s="21" t="str">
        <f>CHOOSE(MOD(48,3)+1,"CC-100 Bodega Central","CC-101 Sucursal Centro","CC-102 Sucursal Itagüí")</f>
        <v>CC-100 Bodega Central</v>
      </c>
      <c r="I243" s="21" t="str">
        <f>"IVA descontable factura "&amp;mercancia!A50</f>
        <v>IVA descontable factura FE-1049</v>
      </c>
      <c r="J243" s="24">
        <f ca="1">mercancia!I50</f>
        <v>968544</v>
      </c>
      <c r="K243" s="24">
        <f>0</f>
        <v>0</v>
      </c>
      <c r="L243" s="25" t="str">
        <f>mercancia!A50</f>
        <v>FE-1049</v>
      </c>
    </row>
    <row r="244" spans="1:12" x14ac:dyDescent="0.35">
      <c r="A244" s="20" t="str">
        <f>"CC-MC-"&amp;TEXT(1048,"0000")</f>
        <v>CC-MC-1048</v>
      </c>
      <c r="B244" s="21" t="str">
        <f>"Causación Compra"</f>
        <v>Causación Compra</v>
      </c>
      <c r="C244" s="22">
        <f ca="1">mercancia!B50</f>
        <v>46034</v>
      </c>
      <c r="D244" s="68" t="str">
        <f>"236540"</f>
        <v>236540</v>
      </c>
      <c r="E244" s="21" t="str">
        <f>"Retención en la fuente - Compras"</f>
        <v>Retención en la fuente - Compras</v>
      </c>
      <c r="F244" s="21" t="str">
        <f ca="1">mercancia!C50</f>
        <v>Ferretería Antioqueña Ltda.</v>
      </c>
      <c r="G244" s="23" t="str" cm="1">
        <f t="array" aca="1" ref="G244" ca="1">INDIRECT("mercancia!D"&amp;(INT((ROW()-2)/5)+2))</f>
        <v>900.234.567-2</v>
      </c>
      <c r="H244" s="21" t="str">
        <f>CHOOSE(MOD(48,3)+1,"CC-100 Bodega Central","CC-101 Sucursal Centro","CC-102 Sucursal Itagüí")</f>
        <v>CC-100 Bodega Central</v>
      </c>
      <c r="I244" s="21" t="str">
        <f ca="1">"ReteFuente "&amp;TEXT(mercancia!K50,"0.0%")&amp;" sobre compra "&amp;mercancia!A50</f>
        <v>ReteFuente 04% sobre compra FE-1049</v>
      </c>
      <c r="J244" s="24">
        <f>0</f>
        <v>0</v>
      </c>
      <c r="K244" s="24">
        <f ca="1">mercancia!L50</f>
        <v>178416</v>
      </c>
      <c r="L244" s="25" t="str">
        <f>mercancia!A50</f>
        <v>FE-1049</v>
      </c>
    </row>
    <row r="245" spans="1:12" x14ac:dyDescent="0.35">
      <c r="A245" s="20" t="str">
        <f>"CC-MC-"&amp;TEXT(1048,"0000")</f>
        <v>CC-MC-1048</v>
      </c>
      <c r="B245" s="21" t="str">
        <f>"Causación Compra"</f>
        <v>Causación Compra</v>
      </c>
      <c r="C245" s="22">
        <f ca="1">mercancia!B50</f>
        <v>46034</v>
      </c>
      <c r="D245" s="68" t="str">
        <f>"236805"</f>
        <v>236805</v>
      </c>
      <c r="E245" s="21" t="str">
        <f>"Retención ICA - Medellín 11.04‰"</f>
        <v>Retención ICA - Medellín 11.04‰</v>
      </c>
      <c r="F245" s="21" t="str">
        <f ca="1">mercancia!C50</f>
        <v>Ferretería Antioqueña Ltda.</v>
      </c>
      <c r="G245" s="23" t="str" cm="1">
        <f t="array" aca="1" ref="G245" ca="1">INDIRECT("mercancia!D"&amp;(INT((ROW()-2)/5)+2))</f>
        <v>900.234.567-2</v>
      </c>
      <c r="H245" s="21" t="str">
        <f>CHOOSE(MOD(48,3)+1,"CC-100 Bodega Central","CC-101 Sucursal Centro","CC-102 Sucursal Itagüí")</f>
        <v>CC-100 Bodega Central</v>
      </c>
      <c r="I245" s="21" t="str">
        <f>"ReteICA Medellín sobre compra "&amp;mercancia!A50</f>
        <v>ReteICA Medellín sobre compra FE-1049</v>
      </c>
      <c r="J245" s="24">
        <f>0</f>
        <v>0</v>
      </c>
      <c r="K245" s="24">
        <f ca="1">mercancia!N50</f>
        <v>56278</v>
      </c>
      <c r="L245" s="25" t="str">
        <f>mercancia!A50</f>
        <v>FE-1049</v>
      </c>
    </row>
    <row r="246" spans="1:12" x14ac:dyDescent="0.35">
      <c r="A246" s="20" t="str">
        <f>"CC-MC-"&amp;TEXT(1048,"0000")</f>
        <v>CC-MC-1048</v>
      </c>
      <c r="B246" s="21" t="str">
        <f>"Causación Compra"</f>
        <v>Causación Compra</v>
      </c>
      <c r="C246" s="22">
        <f ca="1">mercancia!B50</f>
        <v>46034</v>
      </c>
      <c r="D246" s="68" t="str">
        <f>"220505"</f>
        <v>220505</v>
      </c>
      <c r="E246" s="21" t="str">
        <f>"Proveedores nacionales"</f>
        <v>Proveedores nacionales</v>
      </c>
      <c r="F246" s="21" t="str">
        <f ca="1">mercancia!C50</f>
        <v>Ferretería Antioqueña Ltda.</v>
      </c>
      <c r="G246" s="23" t="str" cm="1">
        <f t="array" aca="1" ref="G246" ca="1">INDIRECT("mercancia!D"&amp;(INT((ROW()-2)/5)+2))</f>
        <v>900.234.567-2</v>
      </c>
      <c r="H246" s="21" t="str">
        <f>CHOOSE(MOD(48,3)+1,"CC-100 Bodega Central","CC-101 Sucursal Centro","CC-102 Sucursal Itagüí")</f>
        <v>CC-100 Bodega Central</v>
      </c>
      <c r="I246" s="21" t="str">
        <f>"Cuenta por pagar proveedor - "&amp;mercancia!A50</f>
        <v>Cuenta por pagar proveedor - FE-1049</v>
      </c>
      <c r="J246" s="24">
        <f>0</f>
        <v>0</v>
      </c>
      <c r="K246" s="24">
        <f ca="1">mercancia!O50</f>
        <v>5831450</v>
      </c>
      <c r="L246" s="25" t="str">
        <f>mercancia!A50</f>
        <v>FE-1049</v>
      </c>
    </row>
    <row r="247" spans="1:12" x14ac:dyDescent="0.35">
      <c r="A247" s="26" t="str">
        <f>"CC-MC-"&amp;TEXT(1049,"0000")</f>
        <v>CC-MC-1049</v>
      </c>
      <c r="B247" s="27" t="str">
        <f>"Causación Compra"</f>
        <v>Causación Compra</v>
      </c>
      <c r="C247" s="28">
        <f ca="1">mercancia!B51</f>
        <v>46078</v>
      </c>
      <c r="D247" s="69" t="str">
        <f>"143505"</f>
        <v>143505</v>
      </c>
      <c r="E247" s="27" t="str">
        <f>"Mercancías no fabricadas por la empresa"</f>
        <v>Mercancías no fabricadas por la empresa</v>
      </c>
      <c r="F247" s="27" t="str">
        <f ca="1">mercancia!C51</f>
        <v>Ferretería Antioqueña Ltda.</v>
      </c>
      <c r="G247" s="29" t="str" cm="1">
        <f t="array" aca="1" ref="G247" ca="1">INDIRECT("mercancia!D"&amp;(INT((ROW()-2)/5)+2))</f>
        <v>900.234.567-2</v>
      </c>
      <c r="H247" s="27" t="str">
        <f>CHOOSE(MOD(49,3)+1,"CC-100 Bodega Central","CC-101 Sucursal Centro","CC-102 Sucursal Itagüí")</f>
        <v>CC-101 Sucursal Centro</v>
      </c>
      <c r="I247" s="27" t="str">
        <f ca="1">"Compra mercancía - "&amp;mercancia!E51&amp;" - "&amp;mercancia!A51</f>
        <v>Compra mercancía - Guantes de carnaza par - FE-1050</v>
      </c>
      <c r="J247" s="30">
        <f ca="1">mercancia!H51</f>
        <v>3137200</v>
      </c>
      <c r="K247" s="30">
        <f>0</f>
        <v>0</v>
      </c>
      <c r="L247" s="31" t="str">
        <f>mercancia!A51</f>
        <v>FE-1050</v>
      </c>
    </row>
    <row r="248" spans="1:12" x14ac:dyDescent="0.35">
      <c r="A248" s="26" t="str">
        <f>"CC-MC-"&amp;TEXT(1049,"0000")</f>
        <v>CC-MC-1049</v>
      </c>
      <c r="B248" s="27" t="str">
        <f>"Causación Compra"</f>
        <v>Causación Compra</v>
      </c>
      <c r="C248" s="28">
        <f ca="1">mercancia!B51</f>
        <v>46078</v>
      </c>
      <c r="D248" s="69" t="str">
        <f>"240805"</f>
        <v>240805</v>
      </c>
      <c r="E248" s="27" t="str">
        <f>"IVA descontable - 19%"</f>
        <v>IVA descontable - 19%</v>
      </c>
      <c r="F248" s="27" t="str">
        <f ca="1">mercancia!C51</f>
        <v>Ferretería Antioqueña Ltda.</v>
      </c>
      <c r="G248" s="29" t="str" cm="1">
        <f t="array" aca="1" ref="G248" ca="1">INDIRECT("mercancia!D"&amp;(INT((ROW()-2)/5)+2))</f>
        <v>900.234.567-2</v>
      </c>
      <c r="H248" s="27" t="str">
        <f>CHOOSE(MOD(49,3)+1,"CC-100 Bodega Central","CC-101 Sucursal Centro","CC-102 Sucursal Itagüí")</f>
        <v>CC-101 Sucursal Centro</v>
      </c>
      <c r="I248" s="27" t="str">
        <f>"IVA descontable factura "&amp;mercancia!A51</f>
        <v>IVA descontable factura FE-1050</v>
      </c>
      <c r="J248" s="30">
        <f ca="1">mercancia!I51</f>
        <v>596068</v>
      </c>
      <c r="K248" s="30">
        <f>0</f>
        <v>0</v>
      </c>
      <c r="L248" s="31" t="str">
        <f>mercancia!A51</f>
        <v>FE-1050</v>
      </c>
    </row>
    <row r="249" spans="1:12" x14ac:dyDescent="0.35">
      <c r="A249" s="26" t="str">
        <f>"CC-MC-"&amp;TEXT(1049,"0000")</f>
        <v>CC-MC-1049</v>
      </c>
      <c r="B249" s="27" t="str">
        <f>"Causación Compra"</f>
        <v>Causación Compra</v>
      </c>
      <c r="C249" s="28">
        <f ca="1">mercancia!B51</f>
        <v>46078</v>
      </c>
      <c r="D249" s="69" t="str">
        <f>"236540"</f>
        <v>236540</v>
      </c>
      <c r="E249" s="27" t="str">
        <f>"Retención en la fuente - Compras"</f>
        <v>Retención en la fuente - Compras</v>
      </c>
      <c r="F249" s="27" t="str">
        <f ca="1">mercancia!C51</f>
        <v>Ferretería Antioqueña Ltda.</v>
      </c>
      <c r="G249" s="29" t="str" cm="1">
        <f t="array" aca="1" ref="G249" ca="1">INDIRECT("mercancia!D"&amp;(INT((ROW()-2)/5)+2))</f>
        <v>900.234.567-2</v>
      </c>
      <c r="H249" s="27" t="str">
        <f>CHOOSE(MOD(49,3)+1,"CC-100 Bodega Central","CC-101 Sucursal Centro","CC-102 Sucursal Itagüí")</f>
        <v>CC-101 Sucursal Centro</v>
      </c>
      <c r="I249" s="27" t="str">
        <f ca="1">"ReteFuente "&amp;TEXT(mercancia!K51,"0.0%")&amp;" sobre compra "&amp;mercancia!A51</f>
        <v>ReteFuente 03% sobre compra FE-1050</v>
      </c>
      <c r="J249" s="30">
        <f>0</f>
        <v>0</v>
      </c>
      <c r="K249" s="30">
        <f ca="1">mercancia!L51</f>
        <v>78430</v>
      </c>
      <c r="L249" s="31" t="str">
        <f>mercancia!A51</f>
        <v>FE-1050</v>
      </c>
    </row>
    <row r="250" spans="1:12" x14ac:dyDescent="0.35">
      <c r="A250" s="26" t="str">
        <f>"CC-MC-"&amp;TEXT(1049,"0000")</f>
        <v>CC-MC-1049</v>
      </c>
      <c r="B250" s="27" t="str">
        <f>"Causación Compra"</f>
        <v>Causación Compra</v>
      </c>
      <c r="C250" s="28">
        <f ca="1">mercancia!B51</f>
        <v>46078</v>
      </c>
      <c r="D250" s="69" t="str">
        <f>"236805"</f>
        <v>236805</v>
      </c>
      <c r="E250" s="27" t="str">
        <f>"Retención ICA - Medellín 11.04‰"</f>
        <v>Retención ICA - Medellín 11.04‰</v>
      </c>
      <c r="F250" s="27" t="str">
        <f ca="1">mercancia!C51</f>
        <v>Ferretería Antioqueña Ltda.</v>
      </c>
      <c r="G250" s="29" t="str" cm="1">
        <f t="array" aca="1" ref="G250" ca="1">INDIRECT("mercancia!D"&amp;(INT((ROW()-2)/5)+2))</f>
        <v>900.234.567-2</v>
      </c>
      <c r="H250" s="27" t="str">
        <f>CHOOSE(MOD(49,3)+1,"CC-100 Bodega Central","CC-101 Sucursal Centro","CC-102 Sucursal Itagüí")</f>
        <v>CC-101 Sucursal Centro</v>
      </c>
      <c r="I250" s="27" t="str">
        <f>"ReteICA Medellín sobre compra "&amp;mercancia!A51</f>
        <v>ReteICA Medellín sobre compra FE-1050</v>
      </c>
      <c r="J250" s="30">
        <f>0</f>
        <v>0</v>
      </c>
      <c r="K250" s="30">
        <f ca="1">mercancia!N51</f>
        <v>34635</v>
      </c>
      <c r="L250" s="31" t="str">
        <f>mercancia!A51</f>
        <v>FE-1050</v>
      </c>
    </row>
    <row r="251" spans="1:12" x14ac:dyDescent="0.35">
      <c r="A251" s="26" t="str">
        <f>"CC-MC-"&amp;TEXT(1049,"0000")</f>
        <v>CC-MC-1049</v>
      </c>
      <c r="B251" s="27" t="str">
        <f>"Causación Compra"</f>
        <v>Causación Compra</v>
      </c>
      <c r="C251" s="28">
        <f ca="1">mercancia!B51</f>
        <v>46078</v>
      </c>
      <c r="D251" s="69" t="str">
        <f>"220505"</f>
        <v>220505</v>
      </c>
      <c r="E251" s="27" t="str">
        <f>"Proveedores nacionales"</f>
        <v>Proveedores nacionales</v>
      </c>
      <c r="F251" s="27" t="str">
        <f ca="1">mercancia!C51</f>
        <v>Ferretería Antioqueña Ltda.</v>
      </c>
      <c r="G251" s="29" t="str" cm="1">
        <f t="array" aca="1" ref="G251" ca="1">INDIRECT("mercancia!D"&amp;(INT((ROW()-2)/5)+2))</f>
        <v>900.234.567-2</v>
      </c>
      <c r="H251" s="27" t="str">
        <f>CHOOSE(MOD(49,3)+1,"CC-100 Bodega Central","CC-101 Sucursal Centro","CC-102 Sucursal Itagüí")</f>
        <v>CC-101 Sucursal Centro</v>
      </c>
      <c r="I251" s="27" t="str">
        <f>"Cuenta por pagar proveedor - "&amp;mercancia!A51</f>
        <v>Cuenta por pagar proveedor - FE-1050</v>
      </c>
      <c r="J251" s="30">
        <f>0</f>
        <v>0</v>
      </c>
      <c r="K251" s="30">
        <f ca="1">mercancia!O51</f>
        <v>3620203</v>
      </c>
      <c r="L251" s="31" t="str">
        <f>mercancia!A51</f>
        <v>FE-1050</v>
      </c>
    </row>
    <row r="252" spans="1:12" x14ac:dyDescent="0.35">
      <c r="A252" s="20" t="str">
        <f>"CC-MC-"&amp;TEXT(1050,"0000")</f>
        <v>CC-MC-1050</v>
      </c>
      <c r="B252" s="21" t="str">
        <f>"Causación Compra"</f>
        <v>Causación Compra</v>
      </c>
      <c r="C252" s="22">
        <f ca="1">mercancia!B52</f>
        <v>46130</v>
      </c>
      <c r="D252" s="68" t="str">
        <f>"143505"</f>
        <v>143505</v>
      </c>
      <c r="E252" s="21" t="str">
        <f>"Mercancías no fabricadas por la empresa"</f>
        <v>Mercancías no fabricadas por la empresa</v>
      </c>
      <c r="F252" s="21" t="str">
        <f ca="1">mercancia!C52</f>
        <v>Pinturas y Acabados Aburrá S.A.S.</v>
      </c>
      <c r="G252" s="23" t="str" cm="1">
        <f t="array" aca="1" ref="G252" ca="1">INDIRECT("mercancia!D"&amp;(INT((ROW()-2)/5)+2))</f>
        <v>900.789.012-7</v>
      </c>
      <c r="H252" s="21" t="str">
        <f>CHOOSE(MOD(50,3)+1,"CC-100 Bodega Central","CC-101 Sucursal Centro","CC-102 Sucursal Itagüí")</f>
        <v>CC-102 Sucursal Itagüí</v>
      </c>
      <c r="I252" s="21" t="str">
        <f ca="1">"Compra mercancía - "&amp;mercancia!E52&amp;" - "&amp;mercancia!A52</f>
        <v>Compra mercancía - Tornillería Nacional del Valle de Aburrá - FE-1051</v>
      </c>
      <c r="J252" s="24">
        <f ca="1">mercancia!H52</f>
        <v>13311000</v>
      </c>
      <c r="K252" s="24">
        <f>0</f>
        <v>0</v>
      </c>
      <c r="L252" s="25" t="str">
        <f>mercancia!A52</f>
        <v>FE-1051</v>
      </c>
    </row>
    <row r="253" spans="1:12" x14ac:dyDescent="0.35">
      <c r="A253" s="20" t="str">
        <f>"CC-MC-"&amp;TEXT(1050,"0000")</f>
        <v>CC-MC-1050</v>
      </c>
      <c r="B253" s="21" t="str">
        <f>"Causación Compra"</f>
        <v>Causación Compra</v>
      </c>
      <c r="C253" s="22">
        <f ca="1">mercancia!B52</f>
        <v>46130</v>
      </c>
      <c r="D253" s="68" t="str">
        <f>"240805"</f>
        <v>240805</v>
      </c>
      <c r="E253" s="21" t="str">
        <f>"IVA descontable - 19%"</f>
        <v>IVA descontable - 19%</v>
      </c>
      <c r="F253" s="21" t="str">
        <f ca="1">mercancia!C52</f>
        <v>Pinturas y Acabados Aburrá S.A.S.</v>
      </c>
      <c r="G253" s="23" t="str" cm="1">
        <f t="array" aca="1" ref="G253" ca="1">INDIRECT("mercancia!D"&amp;(INT((ROW()-2)/5)+2))</f>
        <v>900.789.012-7</v>
      </c>
      <c r="H253" s="21" t="str">
        <f>CHOOSE(MOD(50,3)+1,"CC-100 Bodega Central","CC-101 Sucursal Centro","CC-102 Sucursal Itagüí")</f>
        <v>CC-102 Sucursal Itagüí</v>
      </c>
      <c r="I253" s="21" t="str">
        <f>"IVA descontable factura "&amp;mercancia!A52</f>
        <v>IVA descontable factura FE-1051</v>
      </c>
      <c r="J253" s="24">
        <f ca="1">mercancia!I52</f>
        <v>2529090</v>
      </c>
      <c r="K253" s="24">
        <f>0</f>
        <v>0</v>
      </c>
      <c r="L253" s="25" t="str">
        <f>mercancia!A52</f>
        <v>FE-1051</v>
      </c>
    </row>
    <row r="254" spans="1:12" x14ac:dyDescent="0.35">
      <c r="A254" s="20" t="str">
        <f>"CC-MC-"&amp;TEXT(1050,"0000")</f>
        <v>CC-MC-1050</v>
      </c>
      <c r="B254" s="21" t="str">
        <f>"Causación Compra"</f>
        <v>Causación Compra</v>
      </c>
      <c r="C254" s="22">
        <f ca="1">mercancia!B52</f>
        <v>46130</v>
      </c>
      <c r="D254" s="68" t="str">
        <f>"236540"</f>
        <v>236540</v>
      </c>
      <c r="E254" s="21" t="str">
        <f>"Retención en la fuente - Compras"</f>
        <v>Retención en la fuente - Compras</v>
      </c>
      <c r="F254" s="21" t="str">
        <f ca="1">mercancia!C52</f>
        <v>Pinturas y Acabados Aburrá S.A.S.</v>
      </c>
      <c r="G254" s="23" t="str" cm="1">
        <f t="array" aca="1" ref="G254" ca="1">INDIRECT("mercancia!D"&amp;(INT((ROW()-2)/5)+2))</f>
        <v>900.789.012-7</v>
      </c>
      <c r="H254" s="21" t="str">
        <f>CHOOSE(MOD(50,3)+1,"CC-100 Bodega Central","CC-101 Sucursal Centro","CC-102 Sucursal Itagüí")</f>
        <v>CC-102 Sucursal Itagüí</v>
      </c>
      <c r="I254" s="21" t="str">
        <f ca="1">"ReteFuente "&amp;TEXT(mercancia!K52,"0.0%")&amp;" sobre compra "&amp;mercancia!A52</f>
        <v>ReteFuente 04% sobre compra FE-1051</v>
      </c>
      <c r="J254" s="24">
        <f>0</f>
        <v>0</v>
      </c>
      <c r="K254" s="24">
        <f ca="1">mercancia!L52</f>
        <v>465885</v>
      </c>
      <c r="L254" s="25" t="str">
        <f>mercancia!A52</f>
        <v>FE-1051</v>
      </c>
    </row>
    <row r="255" spans="1:12" x14ac:dyDescent="0.35">
      <c r="A255" s="20" t="str">
        <f>"CC-MC-"&amp;TEXT(1050,"0000")</f>
        <v>CC-MC-1050</v>
      </c>
      <c r="B255" s="21" t="str">
        <f>"Causación Compra"</f>
        <v>Causación Compra</v>
      </c>
      <c r="C255" s="22">
        <f ca="1">mercancia!B52</f>
        <v>46130</v>
      </c>
      <c r="D255" s="68" t="str">
        <f>"236805"</f>
        <v>236805</v>
      </c>
      <c r="E255" s="21" t="str">
        <f>"Retención ICA - Medellín 11.04‰"</f>
        <v>Retención ICA - Medellín 11.04‰</v>
      </c>
      <c r="F255" s="21" t="str">
        <f ca="1">mercancia!C52</f>
        <v>Pinturas y Acabados Aburrá S.A.S.</v>
      </c>
      <c r="G255" s="23" t="str" cm="1">
        <f t="array" aca="1" ref="G255" ca="1">INDIRECT("mercancia!D"&amp;(INT((ROW()-2)/5)+2))</f>
        <v>900.789.012-7</v>
      </c>
      <c r="H255" s="21" t="str">
        <f>CHOOSE(MOD(50,3)+1,"CC-100 Bodega Central","CC-101 Sucursal Centro","CC-102 Sucursal Itagüí")</f>
        <v>CC-102 Sucursal Itagüí</v>
      </c>
      <c r="I255" s="21" t="str">
        <f>"ReteICA Medellín sobre compra "&amp;mercancia!A52</f>
        <v>ReteICA Medellín sobre compra FE-1051</v>
      </c>
      <c r="J255" s="24">
        <f>0</f>
        <v>0</v>
      </c>
      <c r="K255" s="24">
        <f ca="1">mercancia!N52</f>
        <v>146953</v>
      </c>
      <c r="L255" s="25" t="str">
        <f>mercancia!A52</f>
        <v>FE-1051</v>
      </c>
    </row>
    <row r="256" spans="1:12" x14ac:dyDescent="0.35">
      <c r="A256" s="20" t="str">
        <f>"CC-MC-"&amp;TEXT(1050,"0000")</f>
        <v>CC-MC-1050</v>
      </c>
      <c r="B256" s="21" t="str">
        <f>"Causación Compra"</f>
        <v>Causación Compra</v>
      </c>
      <c r="C256" s="22">
        <f ca="1">mercancia!B52</f>
        <v>46130</v>
      </c>
      <c r="D256" s="68" t="str">
        <f>"220505"</f>
        <v>220505</v>
      </c>
      <c r="E256" s="21" t="str">
        <f>"Proveedores nacionales"</f>
        <v>Proveedores nacionales</v>
      </c>
      <c r="F256" s="21" t="str">
        <f ca="1">mercancia!C52</f>
        <v>Pinturas y Acabados Aburrá S.A.S.</v>
      </c>
      <c r="G256" s="23" t="str" cm="1">
        <f t="array" aca="1" ref="G256" ca="1">INDIRECT("mercancia!D"&amp;(INT((ROW()-2)/5)+2))</f>
        <v>900.789.012-7</v>
      </c>
      <c r="H256" s="21" t="str">
        <f>CHOOSE(MOD(50,3)+1,"CC-100 Bodega Central","CC-101 Sucursal Centro","CC-102 Sucursal Itagüí")</f>
        <v>CC-102 Sucursal Itagüí</v>
      </c>
      <c r="I256" s="21" t="str">
        <f>"Cuenta por pagar proveedor - "&amp;mercancia!A52</f>
        <v>Cuenta por pagar proveedor - FE-1051</v>
      </c>
      <c r="J256" s="24">
        <f>0</f>
        <v>0</v>
      </c>
      <c r="K256" s="24">
        <f ca="1">mercancia!O52</f>
        <v>15227252</v>
      </c>
      <c r="L256" s="25" t="str">
        <f>mercancia!A52</f>
        <v>FE-1051</v>
      </c>
    </row>
    <row r="257" spans="1:12" x14ac:dyDescent="0.35">
      <c r="A257" s="26" t="str">
        <f>"CC-MC-"&amp;TEXT(1051,"0000")</f>
        <v>CC-MC-1051</v>
      </c>
      <c r="B257" s="27" t="str">
        <f>"Causación Compra"</f>
        <v>Causación Compra</v>
      </c>
      <c r="C257" s="28">
        <f ca="1">mercancia!B53</f>
        <v>46096</v>
      </c>
      <c r="D257" s="69" t="str">
        <f>"143505"</f>
        <v>143505</v>
      </c>
      <c r="E257" s="27" t="str">
        <f>"Mercancías no fabricadas por la empresa"</f>
        <v>Mercancías no fabricadas por la empresa</v>
      </c>
      <c r="F257" s="27" t="str">
        <f ca="1">mercancia!C53</f>
        <v>Suministros Ferreteros La 80 Ltda.</v>
      </c>
      <c r="G257" s="29" t="str" cm="1">
        <f t="array" aca="1" ref="G257" ca="1">INDIRECT("mercancia!D"&amp;(INT((ROW()-2)/5)+2))</f>
        <v>900.678.901-6</v>
      </c>
      <c r="H257" s="27" t="str">
        <f>CHOOSE(MOD(51,3)+1,"CC-100 Bodega Central","CC-101 Sucursal Centro","CC-102 Sucursal Itagüí")</f>
        <v>CC-100 Bodega Central</v>
      </c>
      <c r="I257" s="27" t="str">
        <f ca="1">"Compra mercancía - "&amp;mercancia!E53&amp;" - "&amp;mercancia!A53</f>
        <v>Compra mercancía - Cemento blanco x 5 kg - FE-1052</v>
      </c>
      <c r="J257" s="30">
        <f ca="1">mercancia!H53</f>
        <v>4575900</v>
      </c>
      <c r="K257" s="30">
        <f>0</f>
        <v>0</v>
      </c>
      <c r="L257" s="31" t="str">
        <f>mercancia!A53</f>
        <v>FE-1052</v>
      </c>
    </row>
    <row r="258" spans="1:12" x14ac:dyDescent="0.35">
      <c r="A258" s="26" t="str">
        <f>"CC-MC-"&amp;TEXT(1051,"0000")</f>
        <v>CC-MC-1051</v>
      </c>
      <c r="B258" s="27" t="str">
        <f>"Causación Compra"</f>
        <v>Causación Compra</v>
      </c>
      <c r="C258" s="28">
        <f ca="1">mercancia!B53</f>
        <v>46096</v>
      </c>
      <c r="D258" s="69" t="str">
        <f>"240805"</f>
        <v>240805</v>
      </c>
      <c r="E258" s="27" t="str">
        <f>"IVA descontable - 19%"</f>
        <v>IVA descontable - 19%</v>
      </c>
      <c r="F258" s="27" t="str">
        <f ca="1">mercancia!C53</f>
        <v>Suministros Ferreteros La 80 Ltda.</v>
      </c>
      <c r="G258" s="29" t="str" cm="1">
        <f t="array" aca="1" ref="G258" ca="1">INDIRECT("mercancia!D"&amp;(INT((ROW()-2)/5)+2))</f>
        <v>900.678.901-6</v>
      </c>
      <c r="H258" s="27" t="str">
        <f>CHOOSE(MOD(51,3)+1,"CC-100 Bodega Central","CC-101 Sucursal Centro","CC-102 Sucursal Itagüí")</f>
        <v>CC-100 Bodega Central</v>
      </c>
      <c r="I258" s="27" t="str">
        <f>"IVA descontable factura "&amp;mercancia!A53</f>
        <v>IVA descontable factura FE-1052</v>
      </c>
      <c r="J258" s="30">
        <f ca="1">mercancia!I53</f>
        <v>869421</v>
      </c>
      <c r="K258" s="30">
        <f>0</f>
        <v>0</v>
      </c>
      <c r="L258" s="31" t="str">
        <f>mercancia!A53</f>
        <v>FE-1052</v>
      </c>
    </row>
    <row r="259" spans="1:12" x14ac:dyDescent="0.35">
      <c r="A259" s="26" t="str">
        <f>"CC-MC-"&amp;TEXT(1051,"0000")</f>
        <v>CC-MC-1051</v>
      </c>
      <c r="B259" s="27" t="str">
        <f>"Causación Compra"</f>
        <v>Causación Compra</v>
      </c>
      <c r="C259" s="28">
        <f ca="1">mercancia!B53</f>
        <v>46096</v>
      </c>
      <c r="D259" s="69" t="str">
        <f>"236540"</f>
        <v>236540</v>
      </c>
      <c r="E259" s="27" t="str">
        <f>"Retención en la fuente - Compras"</f>
        <v>Retención en la fuente - Compras</v>
      </c>
      <c r="F259" s="27" t="str">
        <f ca="1">mercancia!C53</f>
        <v>Suministros Ferreteros La 80 Ltda.</v>
      </c>
      <c r="G259" s="29" t="str" cm="1">
        <f t="array" aca="1" ref="G259" ca="1">INDIRECT("mercancia!D"&amp;(INT((ROW()-2)/5)+2))</f>
        <v>900.678.901-6</v>
      </c>
      <c r="H259" s="27" t="str">
        <f>CHOOSE(MOD(51,3)+1,"CC-100 Bodega Central","CC-101 Sucursal Centro","CC-102 Sucursal Itagüí")</f>
        <v>CC-100 Bodega Central</v>
      </c>
      <c r="I259" s="27" t="str">
        <f ca="1">"ReteFuente "&amp;TEXT(mercancia!K53,"0.0%")&amp;" sobre compra "&amp;mercancia!A53</f>
        <v>ReteFuente 04% sobre compra FE-1052</v>
      </c>
      <c r="J259" s="30">
        <f>0</f>
        <v>0</v>
      </c>
      <c r="K259" s="30">
        <f ca="1">mercancia!L53</f>
        <v>160157</v>
      </c>
      <c r="L259" s="31" t="str">
        <f>mercancia!A53</f>
        <v>FE-1052</v>
      </c>
    </row>
    <row r="260" spans="1:12" x14ac:dyDescent="0.35">
      <c r="A260" s="26" t="str">
        <f>"CC-MC-"&amp;TEXT(1051,"0000")</f>
        <v>CC-MC-1051</v>
      </c>
      <c r="B260" s="27" t="str">
        <f>"Causación Compra"</f>
        <v>Causación Compra</v>
      </c>
      <c r="C260" s="28">
        <f ca="1">mercancia!B53</f>
        <v>46096</v>
      </c>
      <c r="D260" s="69" t="str">
        <f>"236805"</f>
        <v>236805</v>
      </c>
      <c r="E260" s="27" t="str">
        <f>"Retención ICA - Medellín 11.04‰"</f>
        <v>Retención ICA - Medellín 11.04‰</v>
      </c>
      <c r="F260" s="27" t="str">
        <f ca="1">mercancia!C53</f>
        <v>Suministros Ferreteros La 80 Ltda.</v>
      </c>
      <c r="G260" s="29" t="str" cm="1">
        <f t="array" aca="1" ref="G260" ca="1">INDIRECT("mercancia!D"&amp;(INT((ROW()-2)/5)+2))</f>
        <v>900.678.901-6</v>
      </c>
      <c r="H260" s="27" t="str">
        <f>CHOOSE(MOD(51,3)+1,"CC-100 Bodega Central","CC-101 Sucursal Centro","CC-102 Sucursal Itagüí")</f>
        <v>CC-100 Bodega Central</v>
      </c>
      <c r="I260" s="27" t="str">
        <f>"ReteICA Medellín sobre compra "&amp;mercancia!A53</f>
        <v>ReteICA Medellín sobre compra FE-1052</v>
      </c>
      <c r="J260" s="30">
        <f>0</f>
        <v>0</v>
      </c>
      <c r="K260" s="30">
        <f ca="1">mercancia!N53</f>
        <v>50518</v>
      </c>
      <c r="L260" s="31" t="str">
        <f>mercancia!A53</f>
        <v>FE-1052</v>
      </c>
    </row>
    <row r="261" spans="1:12" x14ac:dyDescent="0.35">
      <c r="A261" s="26" t="str">
        <f>"CC-MC-"&amp;TEXT(1051,"0000")</f>
        <v>CC-MC-1051</v>
      </c>
      <c r="B261" s="27" t="str">
        <f>"Causación Compra"</f>
        <v>Causación Compra</v>
      </c>
      <c r="C261" s="28">
        <f ca="1">mercancia!B53</f>
        <v>46096</v>
      </c>
      <c r="D261" s="69" t="str">
        <f>"220505"</f>
        <v>220505</v>
      </c>
      <c r="E261" s="27" t="str">
        <f>"Proveedores nacionales"</f>
        <v>Proveedores nacionales</v>
      </c>
      <c r="F261" s="27" t="str">
        <f ca="1">mercancia!C53</f>
        <v>Suministros Ferreteros La 80 Ltda.</v>
      </c>
      <c r="G261" s="29" t="str" cm="1">
        <f t="array" aca="1" ref="G261" ca="1">INDIRECT("mercancia!D"&amp;(INT((ROW()-2)/5)+2))</f>
        <v>900.678.901-6</v>
      </c>
      <c r="H261" s="27" t="str">
        <f>CHOOSE(MOD(51,3)+1,"CC-100 Bodega Central","CC-101 Sucursal Centro","CC-102 Sucursal Itagüí")</f>
        <v>CC-100 Bodega Central</v>
      </c>
      <c r="I261" s="27" t="str">
        <f>"Cuenta por pagar proveedor - "&amp;mercancia!A53</f>
        <v>Cuenta por pagar proveedor - FE-1052</v>
      </c>
      <c r="J261" s="30">
        <f>0</f>
        <v>0</v>
      </c>
      <c r="K261" s="30">
        <f ca="1">mercancia!O53</f>
        <v>5234646</v>
      </c>
      <c r="L261" s="31" t="str">
        <f>mercancia!A53</f>
        <v>FE-1052</v>
      </c>
    </row>
    <row r="262" spans="1:12" x14ac:dyDescent="0.35">
      <c r="A262" s="20" t="str">
        <f>"CC-MC-"&amp;TEXT(1052,"0000")</f>
        <v>CC-MC-1052</v>
      </c>
      <c r="B262" s="21" t="str">
        <f>"Causación Compra"</f>
        <v>Causación Compra</v>
      </c>
      <c r="C262" s="22">
        <f ca="1">mercancia!B54</f>
        <v>46089</v>
      </c>
      <c r="D262" s="68" t="str">
        <f>"143505"</f>
        <v>143505</v>
      </c>
      <c r="E262" s="21" t="str">
        <f>"Mercancías no fabricadas por la empresa"</f>
        <v>Mercancías no fabricadas por la empresa</v>
      </c>
      <c r="F262" s="21" t="str">
        <f ca="1">mercancia!C54</f>
        <v>Tornillería Nacional del Valle de Aburrá</v>
      </c>
      <c r="G262" s="23" t="str" cm="1">
        <f t="array" aca="1" ref="G262" ca="1">INDIRECT("mercancia!D"&amp;(INT((ROW()-2)/5)+2))</f>
        <v>900.890.123-8</v>
      </c>
      <c r="H262" s="21" t="str">
        <f>CHOOSE(MOD(52,3)+1,"CC-100 Bodega Central","CC-101 Sucursal Centro","CC-102 Sucursal Itagüí")</f>
        <v>CC-101 Sucursal Centro</v>
      </c>
      <c r="I262" s="21" t="str">
        <f ca="1">"Compra mercancía - "&amp;mercancia!E54&amp;" - "&amp;mercancia!A54</f>
        <v>Compra mercancía - Distribuciones Itagüí Ferretera Ltda. - FE-1053</v>
      </c>
      <c r="J262" s="24">
        <f ca="1">mercancia!H54</f>
        <v>657600</v>
      </c>
      <c r="K262" s="24">
        <f>0</f>
        <v>0</v>
      </c>
      <c r="L262" s="25" t="str">
        <f>mercancia!A54</f>
        <v>FE-1053</v>
      </c>
    </row>
    <row r="263" spans="1:12" x14ac:dyDescent="0.35">
      <c r="A263" s="20" t="str">
        <f>"CC-MC-"&amp;TEXT(1052,"0000")</f>
        <v>CC-MC-1052</v>
      </c>
      <c r="B263" s="21" t="str">
        <f>"Causación Compra"</f>
        <v>Causación Compra</v>
      </c>
      <c r="C263" s="22">
        <f ca="1">mercancia!B54</f>
        <v>46089</v>
      </c>
      <c r="D263" s="68" t="str">
        <f>"240805"</f>
        <v>240805</v>
      </c>
      <c r="E263" s="21" t="str">
        <f>"IVA descontable - 19%"</f>
        <v>IVA descontable - 19%</v>
      </c>
      <c r="F263" s="21" t="str">
        <f ca="1">mercancia!C54</f>
        <v>Tornillería Nacional del Valle de Aburrá</v>
      </c>
      <c r="G263" s="23" t="str" cm="1">
        <f t="array" aca="1" ref="G263" ca="1">INDIRECT("mercancia!D"&amp;(INT((ROW()-2)/5)+2))</f>
        <v>900.890.123-8</v>
      </c>
      <c r="H263" s="21" t="str">
        <f>CHOOSE(MOD(52,3)+1,"CC-100 Bodega Central","CC-101 Sucursal Centro","CC-102 Sucursal Itagüí")</f>
        <v>CC-101 Sucursal Centro</v>
      </c>
      <c r="I263" s="21" t="str">
        <f>"IVA descontable factura "&amp;mercancia!A54</f>
        <v>IVA descontable factura FE-1053</v>
      </c>
      <c r="J263" s="24">
        <f ca="1">mercancia!I54</f>
        <v>124944</v>
      </c>
      <c r="K263" s="24">
        <f>0</f>
        <v>0</v>
      </c>
      <c r="L263" s="25" t="str">
        <f>mercancia!A54</f>
        <v>FE-1053</v>
      </c>
    </row>
    <row r="264" spans="1:12" x14ac:dyDescent="0.35">
      <c r="A264" s="20" t="str">
        <f>"CC-MC-"&amp;TEXT(1052,"0000")</f>
        <v>CC-MC-1052</v>
      </c>
      <c r="B264" s="21" t="str">
        <f>"Causación Compra"</f>
        <v>Causación Compra</v>
      </c>
      <c r="C264" s="22">
        <f ca="1">mercancia!B54</f>
        <v>46089</v>
      </c>
      <c r="D264" s="68" t="str">
        <f>"236540"</f>
        <v>236540</v>
      </c>
      <c r="E264" s="21" t="str">
        <f>"Retención en la fuente - Compras"</f>
        <v>Retención en la fuente - Compras</v>
      </c>
      <c r="F264" s="21" t="str">
        <f ca="1">mercancia!C54</f>
        <v>Tornillería Nacional del Valle de Aburrá</v>
      </c>
      <c r="G264" s="23" t="str" cm="1">
        <f t="array" aca="1" ref="G264" ca="1">INDIRECT("mercancia!D"&amp;(INT((ROW()-2)/5)+2))</f>
        <v>900.890.123-8</v>
      </c>
      <c r="H264" s="21" t="str">
        <f>CHOOSE(MOD(52,3)+1,"CC-100 Bodega Central","CC-101 Sucursal Centro","CC-102 Sucursal Itagüí")</f>
        <v>CC-101 Sucursal Centro</v>
      </c>
      <c r="I264" s="21" t="str">
        <f ca="1">"ReteFuente "&amp;TEXT(mercancia!K54,"0.0%")&amp;" sobre compra "&amp;mercancia!A54</f>
        <v>ReteFuente 04% sobre compra FE-1053</v>
      </c>
      <c r="J264" s="24">
        <f>0</f>
        <v>0</v>
      </c>
      <c r="K264" s="24">
        <f ca="1">mercancia!L54</f>
        <v>23016</v>
      </c>
      <c r="L264" s="25" t="str">
        <f>mercancia!A54</f>
        <v>FE-1053</v>
      </c>
    </row>
    <row r="265" spans="1:12" x14ac:dyDescent="0.35">
      <c r="A265" s="20" t="str">
        <f>"CC-MC-"&amp;TEXT(1052,"0000")</f>
        <v>CC-MC-1052</v>
      </c>
      <c r="B265" s="21" t="str">
        <f>"Causación Compra"</f>
        <v>Causación Compra</v>
      </c>
      <c r="C265" s="22">
        <f ca="1">mercancia!B54</f>
        <v>46089</v>
      </c>
      <c r="D265" s="68" t="str">
        <f>"236805"</f>
        <v>236805</v>
      </c>
      <c r="E265" s="21" t="str">
        <f>"Retención ICA - Medellín 11.04‰"</f>
        <v>Retención ICA - Medellín 11.04‰</v>
      </c>
      <c r="F265" s="21" t="str">
        <f ca="1">mercancia!C54</f>
        <v>Tornillería Nacional del Valle de Aburrá</v>
      </c>
      <c r="G265" s="23" t="str" cm="1">
        <f t="array" aca="1" ref="G265" ca="1">INDIRECT("mercancia!D"&amp;(INT((ROW()-2)/5)+2))</f>
        <v>900.890.123-8</v>
      </c>
      <c r="H265" s="21" t="str">
        <f>CHOOSE(MOD(52,3)+1,"CC-100 Bodega Central","CC-101 Sucursal Centro","CC-102 Sucursal Itagüí")</f>
        <v>CC-101 Sucursal Centro</v>
      </c>
      <c r="I265" s="21" t="str">
        <f>"ReteICA Medellín sobre compra "&amp;mercancia!A54</f>
        <v>ReteICA Medellín sobre compra FE-1053</v>
      </c>
      <c r="J265" s="24">
        <f>0</f>
        <v>0</v>
      </c>
      <c r="K265" s="24">
        <f ca="1">mercancia!N54</f>
        <v>7260</v>
      </c>
      <c r="L265" s="25" t="str">
        <f>mercancia!A54</f>
        <v>FE-1053</v>
      </c>
    </row>
    <row r="266" spans="1:12" x14ac:dyDescent="0.35">
      <c r="A266" s="20" t="str">
        <f>"CC-MC-"&amp;TEXT(1052,"0000")</f>
        <v>CC-MC-1052</v>
      </c>
      <c r="B266" s="21" t="str">
        <f>"Causación Compra"</f>
        <v>Causación Compra</v>
      </c>
      <c r="C266" s="22">
        <f ca="1">mercancia!B54</f>
        <v>46089</v>
      </c>
      <c r="D266" s="68" t="str">
        <f>"220505"</f>
        <v>220505</v>
      </c>
      <c r="E266" s="21" t="str">
        <f>"Proveedores nacionales"</f>
        <v>Proveedores nacionales</v>
      </c>
      <c r="F266" s="21" t="str">
        <f ca="1">mercancia!C54</f>
        <v>Tornillería Nacional del Valle de Aburrá</v>
      </c>
      <c r="G266" s="23" t="str" cm="1">
        <f t="array" aca="1" ref="G266" ca="1">INDIRECT("mercancia!D"&amp;(INT((ROW()-2)/5)+2))</f>
        <v>900.890.123-8</v>
      </c>
      <c r="H266" s="21" t="str">
        <f>CHOOSE(MOD(52,3)+1,"CC-100 Bodega Central","CC-101 Sucursal Centro","CC-102 Sucursal Itagüí")</f>
        <v>CC-101 Sucursal Centro</v>
      </c>
      <c r="I266" s="21" t="str">
        <f>"Cuenta por pagar proveedor - "&amp;mercancia!A54</f>
        <v>Cuenta por pagar proveedor - FE-1053</v>
      </c>
      <c r="J266" s="24">
        <f>0</f>
        <v>0</v>
      </c>
      <c r="K266" s="24">
        <f ca="1">mercancia!O54</f>
        <v>752268</v>
      </c>
      <c r="L266" s="25" t="str">
        <f>mercancia!A54</f>
        <v>FE-1053</v>
      </c>
    </row>
    <row r="267" spans="1:12" x14ac:dyDescent="0.35">
      <c r="A267" s="26" t="str">
        <f>"CC-MC-"&amp;TEXT(1053,"0000")</f>
        <v>CC-MC-1053</v>
      </c>
      <c r="B267" s="27" t="str">
        <f>"Causación Compra"</f>
        <v>Causación Compra</v>
      </c>
      <c r="C267" s="28">
        <f ca="1">mercancia!B55</f>
        <v>46121</v>
      </c>
      <c r="D267" s="69" t="str">
        <f>"143505"</f>
        <v>143505</v>
      </c>
      <c r="E267" s="27" t="str">
        <f>"Mercancías no fabricadas por la empresa"</f>
        <v>Mercancías no fabricadas por la empresa</v>
      </c>
      <c r="F267" s="27" t="str">
        <f ca="1">mercancia!C55</f>
        <v>Acabados y Construcción Poblado S.A.S.</v>
      </c>
      <c r="G267" s="29" t="str" cm="1">
        <f t="array" aca="1" ref="G267" ca="1">INDIRECT("mercancia!D"&amp;(INT((ROW()-2)/5)+2))</f>
        <v>901.567.890-5</v>
      </c>
      <c r="H267" s="27" t="str">
        <f>CHOOSE(MOD(53,3)+1,"CC-100 Bodega Central","CC-101 Sucursal Centro","CC-102 Sucursal Itagüí")</f>
        <v>CC-102 Sucursal Itagüí</v>
      </c>
      <c r="I267" s="27" t="str">
        <f ca="1">"Compra mercancía - "&amp;mercancia!E55&amp;" - "&amp;mercancia!A55</f>
        <v>Compra mercancía - Casco de seguridad industrial - FE-1054</v>
      </c>
      <c r="J267" s="30">
        <f ca="1">mercancia!H55</f>
        <v>5130000</v>
      </c>
      <c r="K267" s="30">
        <f>0</f>
        <v>0</v>
      </c>
      <c r="L267" s="31" t="str">
        <f>mercancia!A55</f>
        <v>FE-1054</v>
      </c>
    </row>
    <row r="268" spans="1:12" x14ac:dyDescent="0.35">
      <c r="A268" s="26" t="str">
        <f>"CC-MC-"&amp;TEXT(1053,"0000")</f>
        <v>CC-MC-1053</v>
      </c>
      <c r="B268" s="27" t="str">
        <f>"Causación Compra"</f>
        <v>Causación Compra</v>
      </c>
      <c r="C268" s="28">
        <f ca="1">mercancia!B55</f>
        <v>46121</v>
      </c>
      <c r="D268" s="69" t="str">
        <f>"240805"</f>
        <v>240805</v>
      </c>
      <c r="E268" s="27" t="str">
        <f>"IVA descontable - 19%"</f>
        <v>IVA descontable - 19%</v>
      </c>
      <c r="F268" s="27" t="str">
        <f ca="1">mercancia!C55</f>
        <v>Acabados y Construcción Poblado S.A.S.</v>
      </c>
      <c r="G268" s="29" t="str" cm="1">
        <f t="array" aca="1" ref="G268" ca="1">INDIRECT("mercancia!D"&amp;(INT((ROW()-2)/5)+2))</f>
        <v>901.567.890-5</v>
      </c>
      <c r="H268" s="27" t="str">
        <f>CHOOSE(MOD(53,3)+1,"CC-100 Bodega Central","CC-101 Sucursal Centro","CC-102 Sucursal Itagüí")</f>
        <v>CC-102 Sucursal Itagüí</v>
      </c>
      <c r="I268" s="27" t="str">
        <f>"IVA descontable factura "&amp;mercancia!A55</f>
        <v>IVA descontable factura FE-1054</v>
      </c>
      <c r="J268" s="30">
        <f ca="1">mercancia!I55</f>
        <v>974700</v>
      </c>
      <c r="K268" s="30">
        <f>0</f>
        <v>0</v>
      </c>
      <c r="L268" s="31" t="str">
        <f>mercancia!A55</f>
        <v>FE-1054</v>
      </c>
    </row>
    <row r="269" spans="1:12" x14ac:dyDescent="0.35">
      <c r="A269" s="26" t="str">
        <f>"CC-MC-"&amp;TEXT(1053,"0000")</f>
        <v>CC-MC-1053</v>
      </c>
      <c r="B269" s="27" t="str">
        <f>"Causación Compra"</f>
        <v>Causación Compra</v>
      </c>
      <c r="C269" s="28">
        <f ca="1">mercancia!B55</f>
        <v>46121</v>
      </c>
      <c r="D269" s="69" t="str">
        <f>"236540"</f>
        <v>236540</v>
      </c>
      <c r="E269" s="27" t="str">
        <f>"Retención en la fuente - Compras"</f>
        <v>Retención en la fuente - Compras</v>
      </c>
      <c r="F269" s="27" t="str">
        <f ca="1">mercancia!C55</f>
        <v>Acabados y Construcción Poblado S.A.S.</v>
      </c>
      <c r="G269" s="29" t="str" cm="1">
        <f t="array" aca="1" ref="G269" ca="1">INDIRECT("mercancia!D"&amp;(INT((ROW()-2)/5)+2))</f>
        <v>901.567.890-5</v>
      </c>
      <c r="H269" s="27" t="str">
        <f>CHOOSE(MOD(53,3)+1,"CC-100 Bodega Central","CC-101 Sucursal Centro","CC-102 Sucursal Itagüí")</f>
        <v>CC-102 Sucursal Itagüí</v>
      </c>
      <c r="I269" s="27" t="str">
        <f ca="1">"ReteFuente "&amp;TEXT(mercancia!K55,"0.0%")&amp;" sobre compra "&amp;mercancia!A55</f>
        <v>ReteFuente 04% sobre compra FE-1054</v>
      </c>
      <c r="J269" s="30">
        <f>0</f>
        <v>0</v>
      </c>
      <c r="K269" s="30">
        <f ca="1">mercancia!L55</f>
        <v>179550</v>
      </c>
      <c r="L269" s="31" t="str">
        <f>mercancia!A55</f>
        <v>FE-1054</v>
      </c>
    </row>
    <row r="270" spans="1:12" x14ac:dyDescent="0.35">
      <c r="A270" s="26" t="str">
        <f>"CC-MC-"&amp;TEXT(1053,"0000")</f>
        <v>CC-MC-1053</v>
      </c>
      <c r="B270" s="27" t="str">
        <f>"Causación Compra"</f>
        <v>Causación Compra</v>
      </c>
      <c r="C270" s="28">
        <f ca="1">mercancia!B55</f>
        <v>46121</v>
      </c>
      <c r="D270" s="69" t="str">
        <f>"236805"</f>
        <v>236805</v>
      </c>
      <c r="E270" s="27" t="str">
        <f>"Retención ICA - Medellín 11.04‰"</f>
        <v>Retención ICA - Medellín 11.04‰</v>
      </c>
      <c r="F270" s="27" t="str">
        <f ca="1">mercancia!C55</f>
        <v>Acabados y Construcción Poblado S.A.S.</v>
      </c>
      <c r="G270" s="29" t="str" cm="1">
        <f t="array" aca="1" ref="G270" ca="1">INDIRECT("mercancia!D"&amp;(INT((ROW()-2)/5)+2))</f>
        <v>901.567.890-5</v>
      </c>
      <c r="H270" s="27" t="str">
        <f>CHOOSE(MOD(53,3)+1,"CC-100 Bodega Central","CC-101 Sucursal Centro","CC-102 Sucursal Itagüí")</f>
        <v>CC-102 Sucursal Itagüí</v>
      </c>
      <c r="I270" s="27" t="str">
        <f>"ReteICA Medellín sobre compra "&amp;mercancia!A55</f>
        <v>ReteICA Medellín sobre compra FE-1054</v>
      </c>
      <c r="J270" s="30">
        <f>0</f>
        <v>0</v>
      </c>
      <c r="K270" s="30">
        <f ca="1">mercancia!N55</f>
        <v>56635</v>
      </c>
      <c r="L270" s="31" t="str">
        <f>mercancia!A55</f>
        <v>FE-1054</v>
      </c>
    </row>
    <row r="271" spans="1:12" x14ac:dyDescent="0.35">
      <c r="A271" s="26" t="str">
        <f>"CC-MC-"&amp;TEXT(1053,"0000")</f>
        <v>CC-MC-1053</v>
      </c>
      <c r="B271" s="27" t="str">
        <f>"Causación Compra"</f>
        <v>Causación Compra</v>
      </c>
      <c r="C271" s="28">
        <f ca="1">mercancia!B55</f>
        <v>46121</v>
      </c>
      <c r="D271" s="69" t="str">
        <f>"220505"</f>
        <v>220505</v>
      </c>
      <c r="E271" s="27" t="str">
        <f>"Proveedores nacionales"</f>
        <v>Proveedores nacionales</v>
      </c>
      <c r="F271" s="27" t="str">
        <f ca="1">mercancia!C55</f>
        <v>Acabados y Construcción Poblado S.A.S.</v>
      </c>
      <c r="G271" s="29" t="str" cm="1">
        <f t="array" aca="1" ref="G271" ca="1">INDIRECT("mercancia!D"&amp;(INT((ROW()-2)/5)+2))</f>
        <v>901.567.890-5</v>
      </c>
      <c r="H271" s="27" t="str">
        <f>CHOOSE(MOD(53,3)+1,"CC-100 Bodega Central","CC-101 Sucursal Centro","CC-102 Sucursal Itagüí")</f>
        <v>CC-102 Sucursal Itagüí</v>
      </c>
      <c r="I271" s="27" t="str">
        <f>"Cuenta por pagar proveedor - "&amp;mercancia!A55</f>
        <v>Cuenta por pagar proveedor - FE-1054</v>
      </c>
      <c r="J271" s="30">
        <f>0</f>
        <v>0</v>
      </c>
      <c r="K271" s="30">
        <f ca="1">mercancia!O55</f>
        <v>5868515</v>
      </c>
      <c r="L271" s="31" t="str">
        <f>mercancia!A55</f>
        <v>FE-1054</v>
      </c>
    </row>
    <row r="272" spans="1:12" x14ac:dyDescent="0.35">
      <c r="A272" s="20" t="str">
        <f>"CC-MC-"&amp;TEXT(1054,"0000")</f>
        <v>CC-MC-1054</v>
      </c>
      <c r="B272" s="21" t="str">
        <f>"Causación Compra"</f>
        <v>Causación Compra</v>
      </c>
      <c r="C272" s="22">
        <f ca="1">mercancia!B56</f>
        <v>46073</v>
      </c>
      <c r="D272" s="68" t="str">
        <f>"143505"</f>
        <v>143505</v>
      </c>
      <c r="E272" s="21" t="str">
        <f>"Mercancías no fabricadas por la empresa"</f>
        <v>Mercancías no fabricadas por la empresa</v>
      </c>
      <c r="F272" s="21" t="str">
        <f ca="1">mercancia!C56</f>
        <v>Materiales La Estrella S.A.S.</v>
      </c>
      <c r="G272" s="23" t="str" cm="1">
        <f t="array" aca="1" ref="G272" ca="1">INDIRECT("mercancia!D"&amp;(INT((ROW()-2)/5)+2))</f>
        <v>901.345.678-3</v>
      </c>
      <c r="H272" s="21" t="str">
        <f>CHOOSE(MOD(54,3)+1,"CC-100 Bodega Central","CC-101 Sucursal Centro","CC-102 Sucursal Itagüí")</f>
        <v>CC-100 Bodega Central</v>
      </c>
      <c r="I272" s="21" t="str">
        <f ca="1">"Compra mercancía - "&amp;mercancia!E56&amp;" - "&amp;mercancia!A56</f>
        <v>Compra mercancía - Hierros y Mallas Bello S.A.S. - FE-1055</v>
      </c>
      <c r="J272" s="24">
        <f ca="1">mercancia!H56</f>
        <v>16386300</v>
      </c>
      <c r="K272" s="24">
        <f>0</f>
        <v>0</v>
      </c>
      <c r="L272" s="25" t="str">
        <f>mercancia!A56</f>
        <v>FE-1055</v>
      </c>
    </row>
    <row r="273" spans="1:12" x14ac:dyDescent="0.35">
      <c r="A273" s="20" t="str">
        <f>"CC-MC-"&amp;TEXT(1054,"0000")</f>
        <v>CC-MC-1054</v>
      </c>
      <c r="B273" s="21" t="str">
        <f>"Causación Compra"</f>
        <v>Causación Compra</v>
      </c>
      <c r="C273" s="22">
        <f ca="1">mercancia!B56</f>
        <v>46073</v>
      </c>
      <c r="D273" s="68" t="str">
        <f>"240805"</f>
        <v>240805</v>
      </c>
      <c r="E273" s="21" t="str">
        <f>"IVA descontable - 19%"</f>
        <v>IVA descontable - 19%</v>
      </c>
      <c r="F273" s="21" t="str">
        <f ca="1">mercancia!C56</f>
        <v>Materiales La Estrella S.A.S.</v>
      </c>
      <c r="G273" s="23" t="str" cm="1">
        <f t="array" aca="1" ref="G273" ca="1">INDIRECT("mercancia!D"&amp;(INT((ROW()-2)/5)+2))</f>
        <v>901.345.678-3</v>
      </c>
      <c r="H273" s="21" t="str">
        <f>CHOOSE(MOD(54,3)+1,"CC-100 Bodega Central","CC-101 Sucursal Centro","CC-102 Sucursal Itagüí")</f>
        <v>CC-100 Bodega Central</v>
      </c>
      <c r="I273" s="21" t="str">
        <f>"IVA descontable factura "&amp;mercancia!A56</f>
        <v>IVA descontable factura FE-1055</v>
      </c>
      <c r="J273" s="24">
        <f ca="1">mercancia!I56</f>
        <v>3113397</v>
      </c>
      <c r="K273" s="24">
        <f>0</f>
        <v>0</v>
      </c>
      <c r="L273" s="25" t="str">
        <f>mercancia!A56</f>
        <v>FE-1055</v>
      </c>
    </row>
    <row r="274" spans="1:12" x14ac:dyDescent="0.35">
      <c r="A274" s="20" t="str">
        <f>"CC-MC-"&amp;TEXT(1054,"0000")</f>
        <v>CC-MC-1054</v>
      </c>
      <c r="B274" s="21" t="str">
        <f>"Causación Compra"</f>
        <v>Causación Compra</v>
      </c>
      <c r="C274" s="22">
        <f ca="1">mercancia!B56</f>
        <v>46073</v>
      </c>
      <c r="D274" s="68" t="str">
        <f>"236540"</f>
        <v>236540</v>
      </c>
      <c r="E274" s="21" t="str">
        <f>"Retención en la fuente - Compras"</f>
        <v>Retención en la fuente - Compras</v>
      </c>
      <c r="F274" s="21" t="str">
        <f ca="1">mercancia!C56</f>
        <v>Materiales La Estrella S.A.S.</v>
      </c>
      <c r="G274" s="23" t="str" cm="1">
        <f t="array" aca="1" ref="G274" ca="1">INDIRECT("mercancia!D"&amp;(INT((ROW()-2)/5)+2))</f>
        <v>901.345.678-3</v>
      </c>
      <c r="H274" s="21" t="str">
        <f>CHOOSE(MOD(54,3)+1,"CC-100 Bodega Central","CC-101 Sucursal Centro","CC-102 Sucursal Itagüí")</f>
        <v>CC-100 Bodega Central</v>
      </c>
      <c r="I274" s="21" t="str">
        <f ca="1">"ReteFuente "&amp;TEXT(mercancia!K56,"0.0%")&amp;" sobre compra "&amp;mercancia!A56</f>
        <v>ReteFuente 03% sobre compra FE-1055</v>
      </c>
      <c r="J274" s="24">
        <f>0</f>
        <v>0</v>
      </c>
      <c r="K274" s="24">
        <f ca="1">mercancia!L56</f>
        <v>409658</v>
      </c>
      <c r="L274" s="25" t="str">
        <f>mercancia!A56</f>
        <v>FE-1055</v>
      </c>
    </row>
    <row r="275" spans="1:12" x14ac:dyDescent="0.35">
      <c r="A275" s="20" t="str">
        <f>"CC-MC-"&amp;TEXT(1054,"0000")</f>
        <v>CC-MC-1054</v>
      </c>
      <c r="B275" s="21" t="str">
        <f>"Causación Compra"</f>
        <v>Causación Compra</v>
      </c>
      <c r="C275" s="22">
        <f ca="1">mercancia!B56</f>
        <v>46073</v>
      </c>
      <c r="D275" s="68" t="str">
        <f>"236805"</f>
        <v>236805</v>
      </c>
      <c r="E275" s="21" t="str">
        <f>"Retención ICA - Medellín 11.04‰"</f>
        <v>Retención ICA - Medellín 11.04‰</v>
      </c>
      <c r="F275" s="21" t="str">
        <f ca="1">mercancia!C56</f>
        <v>Materiales La Estrella S.A.S.</v>
      </c>
      <c r="G275" s="23" t="str" cm="1">
        <f t="array" aca="1" ref="G275" ca="1">INDIRECT("mercancia!D"&amp;(INT((ROW()-2)/5)+2))</f>
        <v>901.345.678-3</v>
      </c>
      <c r="H275" s="21" t="str">
        <f>CHOOSE(MOD(54,3)+1,"CC-100 Bodega Central","CC-101 Sucursal Centro","CC-102 Sucursal Itagüí")</f>
        <v>CC-100 Bodega Central</v>
      </c>
      <c r="I275" s="21" t="str">
        <f>"ReteICA Medellín sobre compra "&amp;mercancia!A56</f>
        <v>ReteICA Medellín sobre compra FE-1055</v>
      </c>
      <c r="J275" s="24">
        <f>0</f>
        <v>0</v>
      </c>
      <c r="K275" s="24">
        <f ca="1">mercancia!N56</f>
        <v>180905</v>
      </c>
      <c r="L275" s="25" t="str">
        <f>mercancia!A56</f>
        <v>FE-1055</v>
      </c>
    </row>
    <row r="276" spans="1:12" x14ac:dyDescent="0.35">
      <c r="A276" s="20" t="str">
        <f>"CC-MC-"&amp;TEXT(1054,"0000")</f>
        <v>CC-MC-1054</v>
      </c>
      <c r="B276" s="21" t="str">
        <f>"Causación Compra"</f>
        <v>Causación Compra</v>
      </c>
      <c r="C276" s="22">
        <f ca="1">mercancia!B56</f>
        <v>46073</v>
      </c>
      <c r="D276" s="68" t="str">
        <f>"220505"</f>
        <v>220505</v>
      </c>
      <c r="E276" s="21" t="str">
        <f>"Proveedores nacionales"</f>
        <v>Proveedores nacionales</v>
      </c>
      <c r="F276" s="21" t="str">
        <f ca="1">mercancia!C56</f>
        <v>Materiales La Estrella S.A.S.</v>
      </c>
      <c r="G276" s="23" t="str" cm="1">
        <f t="array" aca="1" ref="G276" ca="1">INDIRECT("mercancia!D"&amp;(INT((ROW()-2)/5)+2))</f>
        <v>901.345.678-3</v>
      </c>
      <c r="H276" s="21" t="str">
        <f>CHOOSE(MOD(54,3)+1,"CC-100 Bodega Central","CC-101 Sucursal Centro","CC-102 Sucursal Itagüí")</f>
        <v>CC-100 Bodega Central</v>
      </c>
      <c r="I276" s="21" t="str">
        <f>"Cuenta por pagar proveedor - "&amp;mercancia!A56</f>
        <v>Cuenta por pagar proveedor - FE-1055</v>
      </c>
      <c r="J276" s="24">
        <f>0</f>
        <v>0</v>
      </c>
      <c r="K276" s="24">
        <f ca="1">mercancia!O56</f>
        <v>18909134</v>
      </c>
      <c r="L276" s="25" t="str">
        <f>mercancia!A56</f>
        <v>FE-1055</v>
      </c>
    </row>
    <row r="277" spans="1:12" x14ac:dyDescent="0.35">
      <c r="A277" s="26" t="str">
        <f>"CC-MC-"&amp;TEXT(1055,"0000")</f>
        <v>CC-MC-1055</v>
      </c>
      <c r="B277" s="27" t="str">
        <f>"Causación Compra"</f>
        <v>Causación Compra</v>
      </c>
      <c r="C277" s="28">
        <f ca="1">mercancia!B57</f>
        <v>46130</v>
      </c>
      <c r="D277" s="69" t="str">
        <f>"143505"</f>
        <v>143505</v>
      </c>
      <c r="E277" s="27" t="str">
        <f>"Mercancías no fabricadas por la empresa"</f>
        <v>Mercancías no fabricadas por la empresa</v>
      </c>
      <c r="F277" s="27" t="str">
        <f ca="1">mercancia!C57</f>
        <v>Tubos y Conexiones Envigado Ltda.</v>
      </c>
      <c r="G277" s="29" t="str" cm="1">
        <f t="array" aca="1" ref="G277" ca="1">INDIRECT("mercancia!D"&amp;(INT((ROW()-2)/5)+2))</f>
        <v>901.012.345-0</v>
      </c>
      <c r="H277" s="27" t="str">
        <f>CHOOSE(MOD(55,3)+1,"CC-100 Bodega Central","CC-101 Sucursal Centro","CC-102 Sucursal Itagüí")</f>
        <v>CC-101 Sucursal Centro</v>
      </c>
      <c r="I277" s="27" t="str">
        <f ca="1">"Compra mercancía - "&amp;mercancia!E57&amp;" - "&amp;mercancia!A57</f>
        <v>Compra mercancía - Triturado 1/2" - bulto - FE-1056</v>
      </c>
      <c r="J277" s="30">
        <f ca="1">mercancia!H57</f>
        <v>20907000</v>
      </c>
      <c r="K277" s="30">
        <f>0</f>
        <v>0</v>
      </c>
      <c r="L277" s="31" t="str">
        <f>mercancia!A57</f>
        <v>FE-1056</v>
      </c>
    </row>
    <row r="278" spans="1:12" x14ac:dyDescent="0.35">
      <c r="A278" s="26" t="str">
        <f>"CC-MC-"&amp;TEXT(1055,"0000")</f>
        <v>CC-MC-1055</v>
      </c>
      <c r="B278" s="27" t="str">
        <f>"Causación Compra"</f>
        <v>Causación Compra</v>
      </c>
      <c r="C278" s="28">
        <f ca="1">mercancia!B57</f>
        <v>46130</v>
      </c>
      <c r="D278" s="69" t="str">
        <f>"240805"</f>
        <v>240805</v>
      </c>
      <c r="E278" s="27" t="str">
        <f>"IVA descontable - 19%"</f>
        <v>IVA descontable - 19%</v>
      </c>
      <c r="F278" s="27" t="str">
        <f ca="1">mercancia!C57</f>
        <v>Tubos y Conexiones Envigado Ltda.</v>
      </c>
      <c r="G278" s="29" t="str" cm="1">
        <f t="array" aca="1" ref="G278" ca="1">INDIRECT("mercancia!D"&amp;(INT((ROW()-2)/5)+2))</f>
        <v>901.012.345-0</v>
      </c>
      <c r="H278" s="27" t="str">
        <f>CHOOSE(MOD(55,3)+1,"CC-100 Bodega Central","CC-101 Sucursal Centro","CC-102 Sucursal Itagüí")</f>
        <v>CC-101 Sucursal Centro</v>
      </c>
      <c r="I278" s="27" t="str">
        <f>"IVA descontable factura "&amp;mercancia!A57</f>
        <v>IVA descontable factura FE-1056</v>
      </c>
      <c r="J278" s="30">
        <f ca="1">mercancia!I57</f>
        <v>3972330</v>
      </c>
      <c r="K278" s="30">
        <f>0</f>
        <v>0</v>
      </c>
      <c r="L278" s="31" t="str">
        <f>mercancia!A57</f>
        <v>FE-1056</v>
      </c>
    </row>
    <row r="279" spans="1:12" x14ac:dyDescent="0.35">
      <c r="A279" s="26" t="str">
        <f>"CC-MC-"&amp;TEXT(1055,"0000")</f>
        <v>CC-MC-1055</v>
      </c>
      <c r="B279" s="27" t="str">
        <f>"Causación Compra"</f>
        <v>Causación Compra</v>
      </c>
      <c r="C279" s="28">
        <f ca="1">mercancia!B57</f>
        <v>46130</v>
      </c>
      <c r="D279" s="69" t="str">
        <f>"236540"</f>
        <v>236540</v>
      </c>
      <c r="E279" s="27" t="str">
        <f>"Retención en la fuente - Compras"</f>
        <v>Retención en la fuente - Compras</v>
      </c>
      <c r="F279" s="27" t="str">
        <f ca="1">mercancia!C57</f>
        <v>Tubos y Conexiones Envigado Ltda.</v>
      </c>
      <c r="G279" s="29" t="str" cm="1">
        <f t="array" aca="1" ref="G279" ca="1">INDIRECT("mercancia!D"&amp;(INT((ROW()-2)/5)+2))</f>
        <v>901.012.345-0</v>
      </c>
      <c r="H279" s="27" t="str">
        <f>CHOOSE(MOD(55,3)+1,"CC-100 Bodega Central","CC-101 Sucursal Centro","CC-102 Sucursal Itagüí")</f>
        <v>CC-101 Sucursal Centro</v>
      </c>
      <c r="I279" s="27" t="str">
        <f ca="1">"ReteFuente "&amp;TEXT(mercancia!K57,"0.0%")&amp;" sobre compra "&amp;mercancia!A57</f>
        <v>ReteFuente 04% sobre compra FE-1056</v>
      </c>
      <c r="J279" s="30">
        <f>0</f>
        <v>0</v>
      </c>
      <c r="K279" s="30">
        <f ca="1">mercancia!L57</f>
        <v>731745</v>
      </c>
      <c r="L279" s="31" t="str">
        <f>mercancia!A57</f>
        <v>FE-1056</v>
      </c>
    </row>
    <row r="280" spans="1:12" x14ac:dyDescent="0.35">
      <c r="A280" s="26" t="str">
        <f>"CC-MC-"&amp;TEXT(1055,"0000")</f>
        <v>CC-MC-1055</v>
      </c>
      <c r="B280" s="27" t="str">
        <f>"Causación Compra"</f>
        <v>Causación Compra</v>
      </c>
      <c r="C280" s="28">
        <f ca="1">mercancia!B57</f>
        <v>46130</v>
      </c>
      <c r="D280" s="69" t="str">
        <f>"236805"</f>
        <v>236805</v>
      </c>
      <c r="E280" s="27" t="str">
        <f>"Retención ICA - Medellín 11.04‰"</f>
        <v>Retención ICA - Medellín 11.04‰</v>
      </c>
      <c r="F280" s="27" t="str">
        <f ca="1">mercancia!C57</f>
        <v>Tubos y Conexiones Envigado Ltda.</v>
      </c>
      <c r="G280" s="29" t="str" cm="1">
        <f t="array" aca="1" ref="G280" ca="1">INDIRECT("mercancia!D"&amp;(INT((ROW()-2)/5)+2))</f>
        <v>901.012.345-0</v>
      </c>
      <c r="H280" s="27" t="str">
        <f>CHOOSE(MOD(55,3)+1,"CC-100 Bodega Central","CC-101 Sucursal Centro","CC-102 Sucursal Itagüí")</f>
        <v>CC-101 Sucursal Centro</v>
      </c>
      <c r="I280" s="27" t="str">
        <f>"ReteICA Medellín sobre compra "&amp;mercancia!A57</f>
        <v>ReteICA Medellín sobre compra FE-1056</v>
      </c>
      <c r="J280" s="30">
        <f>0</f>
        <v>0</v>
      </c>
      <c r="K280" s="30">
        <f ca="1">mercancia!N57</f>
        <v>230813</v>
      </c>
      <c r="L280" s="31" t="str">
        <f>mercancia!A57</f>
        <v>FE-1056</v>
      </c>
    </row>
    <row r="281" spans="1:12" x14ac:dyDescent="0.35">
      <c r="A281" s="26" t="str">
        <f>"CC-MC-"&amp;TEXT(1055,"0000")</f>
        <v>CC-MC-1055</v>
      </c>
      <c r="B281" s="27" t="str">
        <f>"Causación Compra"</f>
        <v>Causación Compra</v>
      </c>
      <c r="C281" s="28">
        <f ca="1">mercancia!B57</f>
        <v>46130</v>
      </c>
      <c r="D281" s="69" t="str">
        <f>"220505"</f>
        <v>220505</v>
      </c>
      <c r="E281" s="27" t="str">
        <f>"Proveedores nacionales"</f>
        <v>Proveedores nacionales</v>
      </c>
      <c r="F281" s="27" t="str">
        <f ca="1">mercancia!C57</f>
        <v>Tubos y Conexiones Envigado Ltda.</v>
      </c>
      <c r="G281" s="29" t="str" cm="1">
        <f t="array" aca="1" ref="G281" ca="1">INDIRECT("mercancia!D"&amp;(INT((ROW()-2)/5)+2))</f>
        <v>901.012.345-0</v>
      </c>
      <c r="H281" s="27" t="str">
        <f>CHOOSE(MOD(55,3)+1,"CC-100 Bodega Central","CC-101 Sucursal Centro","CC-102 Sucursal Itagüí")</f>
        <v>CC-101 Sucursal Centro</v>
      </c>
      <c r="I281" s="27" t="str">
        <f>"Cuenta por pagar proveedor - "&amp;mercancia!A57</f>
        <v>Cuenta por pagar proveedor - FE-1056</v>
      </c>
      <c r="J281" s="30">
        <f>0</f>
        <v>0</v>
      </c>
      <c r="K281" s="30">
        <f ca="1">mercancia!O57</f>
        <v>23916772</v>
      </c>
      <c r="L281" s="31" t="str">
        <f>mercancia!A57</f>
        <v>FE-1056</v>
      </c>
    </row>
    <row r="282" spans="1:12" x14ac:dyDescent="0.35">
      <c r="A282" s="20" t="str">
        <f>"CC-MC-"&amp;TEXT(1056,"0000")</f>
        <v>CC-MC-1056</v>
      </c>
      <c r="B282" s="21" t="str">
        <f>"Causación Compra"</f>
        <v>Causación Compra</v>
      </c>
      <c r="C282" s="22">
        <f ca="1">mercancia!B58</f>
        <v>46068</v>
      </c>
      <c r="D282" s="68" t="str">
        <f>"143505"</f>
        <v>143505</v>
      </c>
      <c r="E282" s="21" t="str">
        <f>"Mercancías no fabricadas por la empresa"</f>
        <v>Mercancías no fabricadas por la empresa</v>
      </c>
      <c r="F282" s="21" t="str">
        <f ca="1">mercancia!C58</f>
        <v>Materiales La Estrella S.A.S.</v>
      </c>
      <c r="G282" s="23" t="str" cm="1">
        <f t="array" aca="1" ref="G282" ca="1">INDIRECT("mercancia!D"&amp;(INT((ROW()-2)/5)+2))</f>
        <v>901.345.678-3</v>
      </c>
      <c r="H282" s="21" t="str">
        <f>CHOOSE(MOD(56,3)+1,"CC-100 Bodega Central","CC-101 Sucursal Centro","CC-102 Sucursal Itagüí")</f>
        <v>CC-102 Sucursal Itagüí</v>
      </c>
      <c r="I282" s="21" t="str">
        <f ca="1">"Compra mercancía - "&amp;mercancia!E58&amp;" - "&amp;mercancia!A58</f>
        <v>Compra mercancía - Esmeril angular 4-1/2" 850W - FE-1057</v>
      </c>
      <c r="J282" s="24">
        <f ca="1">mercancia!H58</f>
        <v>1199500</v>
      </c>
      <c r="K282" s="24">
        <f>0</f>
        <v>0</v>
      </c>
      <c r="L282" s="25" t="str">
        <f>mercancia!A58</f>
        <v>FE-1057</v>
      </c>
    </row>
    <row r="283" spans="1:12" x14ac:dyDescent="0.35">
      <c r="A283" s="20" t="str">
        <f>"CC-MC-"&amp;TEXT(1056,"0000")</f>
        <v>CC-MC-1056</v>
      </c>
      <c r="B283" s="21" t="str">
        <f>"Causación Compra"</f>
        <v>Causación Compra</v>
      </c>
      <c r="C283" s="22">
        <f ca="1">mercancia!B58</f>
        <v>46068</v>
      </c>
      <c r="D283" s="68" t="str">
        <f>"240805"</f>
        <v>240805</v>
      </c>
      <c r="E283" s="21" t="str">
        <f>"IVA descontable - 19%"</f>
        <v>IVA descontable - 19%</v>
      </c>
      <c r="F283" s="21" t="str">
        <f ca="1">mercancia!C58</f>
        <v>Materiales La Estrella S.A.S.</v>
      </c>
      <c r="G283" s="23" t="str" cm="1">
        <f t="array" aca="1" ref="G283" ca="1">INDIRECT("mercancia!D"&amp;(INT((ROW()-2)/5)+2))</f>
        <v>901.345.678-3</v>
      </c>
      <c r="H283" s="21" t="str">
        <f>CHOOSE(MOD(56,3)+1,"CC-100 Bodega Central","CC-101 Sucursal Centro","CC-102 Sucursal Itagüí")</f>
        <v>CC-102 Sucursal Itagüí</v>
      </c>
      <c r="I283" s="21" t="str">
        <f>"IVA descontable factura "&amp;mercancia!A58</f>
        <v>IVA descontable factura FE-1057</v>
      </c>
      <c r="J283" s="24">
        <f ca="1">mercancia!I58</f>
        <v>227905</v>
      </c>
      <c r="K283" s="24">
        <f>0</f>
        <v>0</v>
      </c>
      <c r="L283" s="25" t="str">
        <f>mercancia!A58</f>
        <v>FE-1057</v>
      </c>
    </row>
    <row r="284" spans="1:12" x14ac:dyDescent="0.35">
      <c r="A284" s="20" t="str">
        <f>"CC-MC-"&amp;TEXT(1056,"0000")</f>
        <v>CC-MC-1056</v>
      </c>
      <c r="B284" s="21" t="str">
        <f>"Causación Compra"</f>
        <v>Causación Compra</v>
      </c>
      <c r="C284" s="22">
        <f ca="1">mercancia!B58</f>
        <v>46068</v>
      </c>
      <c r="D284" s="68" t="str">
        <f>"236540"</f>
        <v>236540</v>
      </c>
      <c r="E284" s="21" t="str">
        <f>"Retención en la fuente - Compras"</f>
        <v>Retención en la fuente - Compras</v>
      </c>
      <c r="F284" s="21" t="str">
        <f ca="1">mercancia!C58</f>
        <v>Materiales La Estrella S.A.S.</v>
      </c>
      <c r="G284" s="23" t="str" cm="1">
        <f t="array" aca="1" ref="G284" ca="1">INDIRECT("mercancia!D"&amp;(INT((ROW()-2)/5)+2))</f>
        <v>901.345.678-3</v>
      </c>
      <c r="H284" s="21" t="str">
        <f>CHOOSE(MOD(56,3)+1,"CC-100 Bodega Central","CC-101 Sucursal Centro","CC-102 Sucursal Itagüí")</f>
        <v>CC-102 Sucursal Itagüí</v>
      </c>
      <c r="I284" s="21" t="str">
        <f ca="1">"ReteFuente "&amp;TEXT(mercancia!K58,"0.0%")&amp;" sobre compra "&amp;mercancia!A58</f>
        <v>ReteFuente 03% sobre compra FE-1057</v>
      </c>
      <c r="J284" s="24">
        <f>0</f>
        <v>0</v>
      </c>
      <c r="K284" s="24">
        <f ca="1">mercancia!L58</f>
        <v>29988</v>
      </c>
      <c r="L284" s="25" t="str">
        <f>mercancia!A58</f>
        <v>FE-1057</v>
      </c>
    </row>
    <row r="285" spans="1:12" x14ac:dyDescent="0.35">
      <c r="A285" s="20" t="str">
        <f>"CC-MC-"&amp;TEXT(1056,"0000")</f>
        <v>CC-MC-1056</v>
      </c>
      <c r="B285" s="21" t="str">
        <f>"Causación Compra"</f>
        <v>Causación Compra</v>
      </c>
      <c r="C285" s="22">
        <f ca="1">mercancia!B58</f>
        <v>46068</v>
      </c>
      <c r="D285" s="68" t="str">
        <f>"236805"</f>
        <v>236805</v>
      </c>
      <c r="E285" s="21" t="str">
        <f>"Retención ICA - Medellín 11.04‰"</f>
        <v>Retención ICA - Medellín 11.04‰</v>
      </c>
      <c r="F285" s="21" t="str">
        <f ca="1">mercancia!C58</f>
        <v>Materiales La Estrella S.A.S.</v>
      </c>
      <c r="G285" s="23" t="str" cm="1">
        <f t="array" aca="1" ref="G285" ca="1">INDIRECT("mercancia!D"&amp;(INT((ROW()-2)/5)+2))</f>
        <v>901.345.678-3</v>
      </c>
      <c r="H285" s="21" t="str">
        <f>CHOOSE(MOD(56,3)+1,"CC-100 Bodega Central","CC-101 Sucursal Centro","CC-102 Sucursal Itagüí")</f>
        <v>CC-102 Sucursal Itagüí</v>
      </c>
      <c r="I285" s="21" t="str">
        <f>"ReteICA Medellín sobre compra "&amp;mercancia!A58</f>
        <v>ReteICA Medellín sobre compra FE-1057</v>
      </c>
      <c r="J285" s="24">
        <f>0</f>
        <v>0</v>
      </c>
      <c r="K285" s="24">
        <f ca="1">mercancia!N58</f>
        <v>13242</v>
      </c>
      <c r="L285" s="25" t="str">
        <f>mercancia!A58</f>
        <v>FE-1057</v>
      </c>
    </row>
    <row r="286" spans="1:12" x14ac:dyDescent="0.35">
      <c r="A286" s="20" t="str">
        <f>"CC-MC-"&amp;TEXT(1056,"0000")</f>
        <v>CC-MC-1056</v>
      </c>
      <c r="B286" s="21" t="str">
        <f>"Causación Compra"</f>
        <v>Causación Compra</v>
      </c>
      <c r="C286" s="22">
        <f ca="1">mercancia!B58</f>
        <v>46068</v>
      </c>
      <c r="D286" s="68" t="str">
        <f>"220505"</f>
        <v>220505</v>
      </c>
      <c r="E286" s="21" t="str">
        <f>"Proveedores nacionales"</f>
        <v>Proveedores nacionales</v>
      </c>
      <c r="F286" s="21" t="str">
        <f ca="1">mercancia!C58</f>
        <v>Materiales La Estrella S.A.S.</v>
      </c>
      <c r="G286" s="23" t="str" cm="1">
        <f t="array" aca="1" ref="G286" ca="1">INDIRECT("mercancia!D"&amp;(INT((ROW()-2)/5)+2))</f>
        <v>901.345.678-3</v>
      </c>
      <c r="H286" s="21" t="str">
        <f>CHOOSE(MOD(56,3)+1,"CC-100 Bodega Central","CC-101 Sucursal Centro","CC-102 Sucursal Itagüí")</f>
        <v>CC-102 Sucursal Itagüí</v>
      </c>
      <c r="I286" s="21" t="str">
        <f>"Cuenta por pagar proveedor - "&amp;mercancia!A58</f>
        <v>Cuenta por pagar proveedor - FE-1057</v>
      </c>
      <c r="J286" s="24">
        <f>0</f>
        <v>0</v>
      </c>
      <c r="K286" s="24">
        <f ca="1">mercancia!O58</f>
        <v>1384175</v>
      </c>
      <c r="L286" s="25" t="str">
        <f>mercancia!A58</f>
        <v>FE-1057</v>
      </c>
    </row>
    <row r="287" spans="1:12" x14ac:dyDescent="0.35">
      <c r="A287" s="26" t="str">
        <f>"CC-MC-"&amp;TEXT(1057,"0000")</f>
        <v>CC-MC-1057</v>
      </c>
      <c r="B287" s="27" t="str">
        <f>"Causación Compra"</f>
        <v>Causación Compra</v>
      </c>
      <c r="C287" s="28">
        <f ca="1">mercancia!B59</f>
        <v>46099</v>
      </c>
      <c r="D287" s="69" t="str">
        <f>"143505"</f>
        <v>143505</v>
      </c>
      <c r="E287" s="27" t="str">
        <f>"Mercancías no fabricadas por la empresa"</f>
        <v>Mercancías no fabricadas por la empresa</v>
      </c>
      <c r="F287" s="27" t="str">
        <f ca="1">mercancia!C59</f>
        <v>Pinturas y Acabados Aburrá S.A.S.</v>
      </c>
      <c r="G287" s="29" t="str" cm="1">
        <f t="array" aca="1" ref="G287" ca="1">INDIRECT("mercancia!D"&amp;(INT((ROW()-2)/5)+2))</f>
        <v>900.789.012-7</v>
      </c>
      <c r="H287" s="27" t="str">
        <f>CHOOSE(MOD(57,3)+1,"CC-100 Bodega Central","CC-101 Sucursal Centro","CC-102 Sucursal Itagüí")</f>
        <v>CC-100 Bodega Central</v>
      </c>
      <c r="I287" s="27" t="str">
        <f ca="1">"Compra mercancía - "&amp;mercancia!E59&amp;" - "&amp;mercancia!A59</f>
        <v>Compra mercancía - Ladrillo tolete macizo - FE-1058</v>
      </c>
      <c r="J287" s="30">
        <f ca="1">mercancia!H59</f>
        <v>8445800</v>
      </c>
      <c r="K287" s="30">
        <f>0</f>
        <v>0</v>
      </c>
      <c r="L287" s="31" t="str">
        <f>mercancia!A59</f>
        <v>FE-1058</v>
      </c>
    </row>
    <row r="288" spans="1:12" x14ac:dyDescent="0.35">
      <c r="A288" s="26" t="str">
        <f>"CC-MC-"&amp;TEXT(1057,"0000")</f>
        <v>CC-MC-1057</v>
      </c>
      <c r="B288" s="27" t="str">
        <f>"Causación Compra"</f>
        <v>Causación Compra</v>
      </c>
      <c r="C288" s="28">
        <f ca="1">mercancia!B59</f>
        <v>46099</v>
      </c>
      <c r="D288" s="69" t="str">
        <f>"240805"</f>
        <v>240805</v>
      </c>
      <c r="E288" s="27" t="str">
        <f>"IVA descontable - 19%"</f>
        <v>IVA descontable - 19%</v>
      </c>
      <c r="F288" s="27" t="str">
        <f ca="1">mercancia!C59</f>
        <v>Pinturas y Acabados Aburrá S.A.S.</v>
      </c>
      <c r="G288" s="29" t="str" cm="1">
        <f t="array" aca="1" ref="G288" ca="1">INDIRECT("mercancia!D"&amp;(INT((ROW()-2)/5)+2))</f>
        <v>900.789.012-7</v>
      </c>
      <c r="H288" s="27" t="str">
        <f>CHOOSE(MOD(57,3)+1,"CC-100 Bodega Central","CC-101 Sucursal Centro","CC-102 Sucursal Itagüí")</f>
        <v>CC-100 Bodega Central</v>
      </c>
      <c r="I288" s="27" t="str">
        <f>"IVA descontable factura "&amp;mercancia!A59</f>
        <v>IVA descontable factura FE-1058</v>
      </c>
      <c r="J288" s="30">
        <f ca="1">mercancia!I59</f>
        <v>1604702</v>
      </c>
      <c r="K288" s="30">
        <f>0</f>
        <v>0</v>
      </c>
      <c r="L288" s="31" t="str">
        <f>mercancia!A59</f>
        <v>FE-1058</v>
      </c>
    </row>
    <row r="289" spans="1:12" x14ac:dyDescent="0.35">
      <c r="A289" s="26" t="str">
        <f>"CC-MC-"&amp;TEXT(1057,"0000")</f>
        <v>CC-MC-1057</v>
      </c>
      <c r="B289" s="27" t="str">
        <f>"Causación Compra"</f>
        <v>Causación Compra</v>
      </c>
      <c r="C289" s="28">
        <f ca="1">mercancia!B59</f>
        <v>46099</v>
      </c>
      <c r="D289" s="69" t="str">
        <f>"236540"</f>
        <v>236540</v>
      </c>
      <c r="E289" s="27" t="str">
        <f>"Retención en la fuente - Compras"</f>
        <v>Retención en la fuente - Compras</v>
      </c>
      <c r="F289" s="27" t="str">
        <f ca="1">mercancia!C59</f>
        <v>Pinturas y Acabados Aburrá S.A.S.</v>
      </c>
      <c r="G289" s="29" t="str" cm="1">
        <f t="array" aca="1" ref="G289" ca="1">INDIRECT("mercancia!D"&amp;(INT((ROW()-2)/5)+2))</f>
        <v>900.789.012-7</v>
      </c>
      <c r="H289" s="27" t="str">
        <f>CHOOSE(MOD(57,3)+1,"CC-100 Bodega Central","CC-101 Sucursal Centro","CC-102 Sucursal Itagüí")</f>
        <v>CC-100 Bodega Central</v>
      </c>
      <c r="I289" s="27" t="str">
        <f ca="1">"ReteFuente "&amp;TEXT(mercancia!K59,"0.0%")&amp;" sobre compra "&amp;mercancia!A59</f>
        <v>ReteFuente 03% sobre compra FE-1058</v>
      </c>
      <c r="J289" s="30">
        <f>0</f>
        <v>0</v>
      </c>
      <c r="K289" s="30">
        <f ca="1">mercancia!L59</f>
        <v>211145</v>
      </c>
      <c r="L289" s="31" t="str">
        <f>mercancia!A59</f>
        <v>FE-1058</v>
      </c>
    </row>
    <row r="290" spans="1:12" x14ac:dyDescent="0.35">
      <c r="A290" s="26" t="str">
        <f>"CC-MC-"&amp;TEXT(1057,"0000")</f>
        <v>CC-MC-1057</v>
      </c>
      <c r="B290" s="27" t="str">
        <f>"Causación Compra"</f>
        <v>Causación Compra</v>
      </c>
      <c r="C290" s="28">
        <f ca="1">mercancia!B59</f>
        <v>46099</v>
      </c>
      <c r="D290" s="69" t="str">
        <f>"236805"</f>
        <v>236805</v>
      </c>
      <c r="E290" s="27" t="str">
        <f>"Retención ICA - Medellín 11.04‰"</f>
        <v>Retención ICA - Medellín 11.04‰</v>
      </c>
      <c r="F290" s="27" t="str">
        <f ca="1">mercancia!C59</f>
        <v>Pinturas y Acabados Aburrá S.A.S.</v>
      </c>
      <c r="G290" s="29" t="str" cm="1">
        <f t="array" aca="1" ref="G290" ca="1">INDIRECT("mercancia!D"&amp;(INT((ROW()-2)/5)+2))</f>
        <v>900.789.012-7</v>
      </c>
      <c r="H290" s="27" t="str">
        <f>CHOOSE(MOD(57,3)+1,"CC-100 Bodega Central","CC-101 Sucursal Centro","CC-102 Sucursal Itagüí")</f>
        <v>CC-100 Bodega Central</v>
      </c>
      <c r="I290" s="27" t="str">
        <f>"ReteICA Medellín sobre compra "&amp;mercancia!A59</f>
        <v>ReteICA Medellín sobre compra FE-1058</v>
      </c>
      <c r="J290" s="30">
        <f>0</f>
        <v>0</v>
      </c>
      <c r="K290" s="30">
        <f ca="1">mercancia!N59</f>
        <v>93242</v>
      </c>
      <c r="L290" s="31" t="str">
        <f>mercancia!A59</f>
        <v>FE-1058</v>
      </c>
    </row>
    <row r="291" spans="1:12" x14ac:dyDescent="0.35">
      <c r="A291" s="26" t="str">
        <f>"CC-MC-"&amp;TEXT(1057,"0000")</f>
        <v>CC-MC-1057</v>
      </c>
      <c r="B291" s="27" t="str">
        <f>"Causación Compra"</f>
        <v>Causación Compra</v>
      </c>
      <c r="C291" s="28">
        <f ca="1">mercancia!B59</f>
        <v>46099</v>
      </c>
      <c r="D291" s="69" t="str">
        <f>"220505"</f>
        <v>220505</v>
      </c>
      <c r="E291" s="27" t="str">
        <f>"Proveedores nacionales"</f>
        <v>Proveedores nacionales</v>
      </c>
      <c r="F291" s="27" t="str">
        <f ca="1">mercancia!C59</f>
        <v>Pinturas y Acabados Aburrá S.A.S.</v>
      </c>
      <c r="G291" s="29" t="str" cm="1">
        <f t="array" aca="1" ref="G291" ca="1">INDIRECT("mercancia!D"&amp;(INT((ROW()-2)/5)+2))</f>
        <v>900.789.012-7</v>
      </c>
      <c r="H291" s="27" t="str">
        <f>CHOOSE(MOD(57,3)+1,"CC-100 Bodega Central","CC-101 Sucursal Centro","CC-102 Sucursal Itagüí")</f>
        <v>CC-100 Bodega Central</v>
      </c>
      <c r="I291" s="27" t="str">
        <f>"Cuenta por pagar proveedor - "&amp;mercancia!A59</f>
        <v>Cuenta por pagar proveedor - FE-1058</v>
      </c>
      <c r="J291" s="30">
        <f>0</f>
        <v>0</v>
      </c>
      <c r="K291" s="30">
        <f ca="1">mercancia!O59</f>
        <v>9746115</v>
      </c>
      <c r="L291" s="31" t="str">
        <f>mercancia!A59</f>
        <v>FE-1058</v>
      </c>
    </row>
    <row r="292" spans="1:12" x14ac:dyDescent="0.35">
      <c r="A292" s="20" t="str">
        <f>"CC-MC-"&amp;TEXT(1058,"0000")</f>
        <v>CC-MC-1058</v>
      </c>
      <c r="B292" s="21" t="str">
        <f>"Causación Compra"</f>
        <v>Causación Compra</v>
      </c>
      <c r="C292" s="22">
        <f ca="1">mercancia!B60</f>
        <v>46056</v>
      </c>
      <c r="D292" s="68" t="str">
        <f>"143505"</f>
        <v>143505</v>
      </c>
      <c r="E292" s="21" t="str">
        <f>"Mercancías no fabricadas por la empresa"</f>
        <v>Mercancías no fabricadas por la empresa</v>
      </c>
      <c r="F292" s="21" t="str">
        <f ca="1">mercancia!C60</f>
        <v>Tornillería Nacional del Valle de Aburrá</v>
      </c>
      <c r="G292" s="23" t="str" cm="1">
        <f t="array" aca="1" ref="G292" ca="1">INDIRECT("mercancia!D"&amp;(INT((ROW()-2)/5)+2))</f>
        <v>900.890.123-8</v>
      </c>
      <c r="H292" s="21" t="str">
        <f>CHOOSE(MOD(58,3)+1,"CC-100 Bodega Central","CC-101 Sucursal Centro","CC-102 Sucursal Itagüí")</f>
        <v>CC-101 Sucursal Centro</v>
      </c>
      <c r="I292" s="21" t="str">
        <f ca="1">"Compra mercancía - "&amp;mercancia!E60&amp;" - "&amp;mercancia!A60</f>
        <v>Compra mercancía - Distribuidora El Martillo de Oro S.A.S. - FE-1059</v>
      </c>
      <c r="J292" s="24">
        <f ca="1">mercancia!H60</f>
        <v>34255000</v>
      </c>
      <c r="K292" s="24">
        <f>0</f>
        <v>0</v>
      </c>
      <c r="L292" s="25" t="str">
        <f>mercancia!A60</f>
        <v>FE-1059</v>
      </c>
    </row>
    <row r="293" spans="1:12" x14ac:dyDescent="0.35">
      <c r="A293" s="20" t="str">
        <f>"CC-MC-"&amp;TEXT(1058,"0000")</f>
        <v>CC-MC-1058</v>
      </c>
      <c r="B293" s="21" t="str">
        <f>"Causación Compra"</f>
        <v>Causación Compra</v>
      </c>
      <c r="C293" s="22">
        <f ca="1">mercancia!B60</f>
        <v>46056</v>
      </c>
      <c r="D293" s="68" t="str">
        <f>"240805"</f>
        <v>240805</v>
      </c>
      <c r="E293" s="21" t="str">
        <f>"IVA descontable - 19%"</f>
        <v>IVA descontable - 19%</v>
      </c>
      <c r="F293" s="21" t="str">
        <f ca="1">mercancia!C60</f>
        <v>Tornillería Nacional del Valle de Aburrá</v>
      </c>
      <c r="G293" s="23" t="str" cm="1">
        <f t="array" aca="1" ref="G293" ca="1">INDIRECT("mercancia!D"&amp;(INT((ROW()-2)/5)+2))</f>
        <v>900.890.123-8</v>
      </c>
      <c r="H293" s="21" t="str">
        <f>CHOOSE(MOD(58,3)+1,"CC-100 Bodega Central","CC-101 Sucursal Centro","CC-102 Sucursal Itagüí")</f>
        <v>CC-101 Sucursal Centro</v>
      </c>
      <c r="I293" s="21" t="str">
        <f>"IVA descontable factura "&amp;mercancia!A60</f>
        <v>IVA descontable factura FE-1059</v>
      </c>
      <c r="J293" s="24">
        <f ca="1">mercancia!I60</f>
        <v>6508450</v>
      </c>
      <c r="K293" s="24">
        <f>0</f>
        <v>0</v>
      </c>
      <c r="L293" s="25" t="str">
        <f>mercancia!A60</f>
        <v>FE-1059</v>
      </c>
    </row>
    <row r="294" spans="1:12" x14ac:dyDescent="0.35">
      <c r="A294" s="20" t="str">
        <f>"CC-MC-"&amp;TEXT(1058,"0000")</f>
        <v>CC-MC-1058</v>
      </c>
      <c r="B294" s="21" t="str">
        <f>"Causación Compra"</f>
        <v>Causación Compra</v>
      </c>
      <c r="C294" s="22">
        <f ca="1">mercancia!B60</f>
        <v>46056</v>
      </c>
      <c r="D294" s="68" t="str">
        <f>"236540"</f>
        <v>236540</v>
      </c>
      <c r="E294" s="21" t="str">
        <f>"Retención en la fuente - Compras"</f>
        <v>Retención en la fuente - Compras</v>
      </c>
      <c r="F294" s="21" t="str">
        <f ca="1">mercancia!C60</f>
        <v>Tornillería Nacional del Valle de Aburrá</v>
      </c>
      <c r="G294" s="23" t="str" cm="1">
        <f t="array" aca="1" ref="G294" ca="1">INDIRECT("mercancia!D"&amp;(INT((ROW()-2)/5)+2))</f>
        <v>900.890.123-8</v>
      </c>
      <c r="H294" s="21" t="str">
        <f>CHOOSE(MOD(58,3)+1,"CC-100 Bodega Central","CC-101 Sucursal Centro","CC-102 Sucursal Itagüí")</f>
        <v>CC-101 Sucursal Centro</v>
      </c>
      <c r="I294" s="21" t="str">
        <f ca="1">"ReteFuente "&amp;TEXT(mercancia!K60,"0.0%")&amp;" sobre compra "&amp;mercancia!A60</f>
        <v>ReteFuente 03% sobre compra FE-1059</v>
      </c>
      <c r="J294" s="24">
        <f>0</f>
        <v>0</v>
      </c>
      <c r="K294" s="24">
        <f ca="1">mercancia!L60</f>
        <v>856375</v>
      </c>
      <c r="L294" s="25" t="str">
        <f>mercancia!A60</f>
        <v>FE-1059</v>
      </c>
    </row>
    <row r="295" spans="1:12" x14ac:dyDescent="0.35">
      <c r="A295" s="20" t="str">
        <f>"CC-MC-"&amp;TEXT(1058,"0000")</f>
        <v>CC-MC-1058</v>
      </c>
      <c r="B295" s="21" t="str">
        <f>"Causación Compra"</f>
        <v>Causación Compra</v>
      </c>
      <c r="C295" s="22">
        <f ca="1">mercancia!B60</f>
        <v>46056</v>
      </c>
      <c r="D295" s="68" t="str">
        <f>"236805"</f>
        <v>236805</v>
      </c>
      <c r="E295" s="21" t="str">
        <f>"Retención ICA - Medellín 11.04‰"</f>
        <v>Retención ICA - Medellín 11.04‰</v>
      </c>
      <c r="F295" s="21" t="str">
        <f ca="1">mercancia!C60</f>
        <v>Tornillería Nacional del Valle de Aburrá</v>
      </c>
      <c r="G295" s="23" t="str" cm="1">
        <f t="array" aca="1" ref="G295" ca="1">INDIRECT("mercancia!D"&amp;(INT((ROW()-2)/5)+2))</f>
        <v>900.890.123-8</v>
      </c>
      <c r="H295" s="21" t="str">
        <f>CHOOSE(MOD(58,3)+1,"CC-100 Bodega Central","CC-101 Sucursal Centro","CC-102 Sucursal Itagüí")</f>
        <v>CC-101 Sucursal Centro</v>
      </c>
      <c r="I295" s="21" t="str">
        <f>"ReteICA Medellín sobre compra "&amp;mercancia!A60</f>
        <v>ReteICA Medellín sobre compra FE-1059</v>
      </c>
      <c r="J295" s="24">
        <f>0</f>
        <v>0</v>
      </c>
      <c r="K295" s="24">
        <f ca="1">mercancia!N60</f>
        <v>378175</v>
      </c>
      <c r="L295" s="25" t="str">
        <f>mercancia!A60</f>
        <v>FE-1059</v>
      </c>
    </row>
    <row r="296" spans="1:12" x14ac:dyDescent="0.35">
      <c r="A296" s="20" t="str">
        <f>"CC-MC-"&amp;TEXT(1058,"0000")</f>
        <v>CC-MC-1058</v>
      </c>
      <c r="B296" s="21" t="str">
        <f>"Causación Compra"</f>
        <v>Causación Compra</v>
      </c>
      <c r="C296" s="22">
        <f ca="1">mercancia!B60</f>
        <v>46056</v>
      </c>
      <c r="D296" s="68" t="str">
        <f>"220505"</f>
        <v>220505</v>
      </c>
      <c r="E296" s="21" t="str">
        <f>"Proveedores nacionales"</f>
        <v>Proveedores nacionales</v>
      </c>
      <c r="F296" s="21" t="str">
        <f ca="1">mercancia!C60</f>
        <v>Tornillería Nacional del Valle de Aburrá</v>
      </c>
      <c r="G296" s="23" t="str" cm="1">
        <f t="array" aca="1" ref="G296" ca="1">INDIRECT("mercancia!D"&amp;(INT((ROW()-2)/5)+2))</f>
        <v>900.890.123-8</v>
      </c>
      <c r="H296" s="21" t="str">
        <f>CHOOSE(MOD(58,3)+1,"CC-100 Bodega Central","CC-101 Sucursal Centro","CC-102 Sucursal Itagüí")</f>
        <v>CC-101 Sucursal Centro</v>
      </c>
      <c r="I296" s="21" t="str">
        <f>"Cuenta por pagar proveedor - "&amp;mercancia!A60</f>
        <v>Cuenta por pagar proveedor - FE-1059</v>
      </c>
      <c r="J296" s="24">
        <f>0</f>
        <v>0</v>
      </c>
      <c r="K296" s="24">
        <f ca="1">mercancia!O60</f>
        <v>39528900</v>
      </c>
      <c r="L296" s="25" t="str">
        <f>mercancia!A60</f>
        <v>FE-1059</v>
      </c>
    </row>
    <row r="297" spans="1:12" x14ac:dyDescent="0.35">
      <c r="A297" s="26" t="str">
        <f>"CC-MC-"&amp;TEXT(1059,"0000")</f>
        <v>CC-MC-1059</v>
      </c>
      <c r="B297" s="27" t="str">
        <f>"Causación Compra"</f>
        <v>Causación Compra</v>
      </c>
      <c r="C297" s="28">
        <f ca="1">mercancia!B61</f>
        <v>46138</v>
      </c>
      <c r="D297" s="69" t="str">
        <f>"143505"</f>
        <v>143505</v>
      </c>
      <c r="E297" s="27" t="str">
        <f>"Mercancías no fabricadas por la empresa"</f>
        <v>Mercancías no fabricadas por la empresa</v>
      </c>
      <c r="F297" s="27" t="str">
        <f ca="1">mercancia!C61</f>
        <v>Suministros Ferreteros La 80 Ltda.</v>
      </c>
      <c r="G297" s="29" t="str" cm="1">
        <f t="array" aca="1" ref="G297" ca="1">INDIRECT("mercancia!D"&amp;(INT((ROW()-2)/5)+2))</f>
        <v>900.678.901-6</v>
      </c>
      <c r="H297" s="27" t="str">
        <f>CHOOSE(MOD(59,3)+1,"CC-100 Bodega Central","CC-101 Sucursal Centro","CC-102 Sucursal Itagüí")</f>
        <v>CC-102 Sucursal Itagüí</v>
      </c>
      <c r="I297" s="27" t="str">
        <f ca="1">"Compra mercancía - "&amp;mercancia!E61&amp;" - "&amp;mercancia!A61</f>
        <v>Compra mercancía - Herramientas Industriales Medellín S.A.S. - FE-1060</v>
      </c>
      <c r="J297" s="30">
        <f ca="1">mercancia!H61</f>
        <v>6553600</v>
      </c>
      <c r="K297" s="30">
        <f>0</f>
        <v>0</v>
      </c>
      <c r="L297" s="31" t="str">
        <f>mercancia!A61</f>
        <v>FE-1060</v>
      </c>
    </row>
    <row r="298" spans="1:12" x14ac:dyDescent="0.35">
      <c r="A298" s="26" t="str">
        <f>"CC-MC-"&amp;TEXT(1059,"0000")</f>
        <v>CC-MC-1059</v>
      </c>
      <c r="B298" s="27" t="str">
        <f>"Causación Compra"</f>
        <v>Causación Compra</v>
      </c>
      <c r="C298" s="28">
        <f ca="1">mercancia!B61</f>
        <v>46138</v>
      </c>
      <c r="D298" s="69" t="str">
        <f>"240805"</f>
        <v>240805</v>
      </c>
      <c r="E298" s="27" t="str">
        <f>"IVA descontable - 19%"</f>
        <v>IVA descontable - 19%</v>
      </c>
      <c r="F298" s="27" t="str">
        <f ca="1">mercancia!C61</f>
        <v>Suministros Ferreteros La 80 Ltda.</v>
      </c>
      <c r="G298" s="29" t="str" cm="1">
        <f t="array" aca="1" ref="G298" ca="1">INDIRECT("mercancia!D"&amp;(INT((ROW()-2)/5)+2))</f>
        <v>900.678.901-6</v>
      </c>
      <c r="H298" s="27" t="str">
        <f>CHOOSE(MOD(59,3)+1,"CC-100 Bodega Central","CC-101 Sucursal Centro","CC-102 Sucursal Itagüí")</f>
        <v>CC-102 Sucursal Itagüí</v>
      </c>
      <c r="I298" s="27" t="str">
        <f>"IVA descontable factura "&amp;mercancia!A61</f>
        <v>IVA descontable factura FE-1060</v>
      </c>
      <c r="J298" s="30">
        <f ca="1">mercancia!I61</f>
        <v>1245184</v>
      </c>
      <c r="K298" s="30">
        <f>0</f>
        <v>0</v>
      </c>
      <c r="L298" s="31" t="str">
        <f>mercancia!A61</f>
        <v>FE-1060</v>
      </c>
    </row>
    <row r="299" spans="1:12" x14ac:dyDescent="0.35">
      <c r="A299" s="26" t="str">
        <f>"CC-MC-"&amp;TEXT(1059,"0000")</f>
        <v>CC-MC-1059</v>
      </c>
      <c r="B299" s="27" t="str">
        <f>"Causación Compra"</f>
        <v>Causación Compra</v>
      </c>
      <c r="C299" s="28">
        <f ca="1">mercancia!B61</f>
        <v>46138</v>
      </c>
      <c r="D299" s="69" t="str">
        <f>"236540"</f>
        <v>236540</v>
      </c>
      <c r="E299" s="27" t="str">
        <f>"Retención en la fuente - Compras"</f>
        <v>Retención en la fuente - Compras</v>
      </c>
      <c r="F299" s="27" t="str">
        <f ca="1">mercancia!C61</f>
        <v>Suministros Ferreteros La 80 Ltda.</v>
      </c>
      <c r="G299" s="29" t="str" cm="1">
        <f t="array" aca="1" ref="G299" ca="1">INDIRECT("mercancia!D"&amp;(INT((ROW()-2)/5)+2))</f>
        <v>900.678.901-6</v>
      </c>
      <c r="H299" s="27" t="str">
        <f>CHOOSE(MOD(59,3)+1,"CC-100 Bodega Central","CC-101 Sucursal Centro","CC-102 Sucursal Itagüí")</f>
        <v>CC-102 Sucursal Itagüí</v>
      </c>
      <c r="I299" s="27" t="str">
        <f ca="1">"ReteFuente "&amp;TEXT(mercancia!K61,"0.0%")&amp;" sobre compra "&amp;mercancia!A61</f>
        <v>ReteFuente 03% sobre compra FE-1060</v>
      </c>
      <c r="J299" s="30">
        <f>0</f>
        <v>0</v>
      </c>
      <c r="K299" s="30">
        <f ca="1">mercancia!L61</f>
        <v>163840</v>
      </c>
      <c r="L299" s="31" t="str">
        <f>mercancia!A61</f>
        <v>FE-1060</v>
      </c>
    </row>
    <row r="300" spans="1:12" x14ac:dyDescent="0.35">
      <c r="A300" s="26" t="str">
        <f>"CC-MC-"&amp;TEXT(1059,"0000")</f>
        <v>CC-MC-1059</v>
      </c>
      <c r="B300" s="27" t="str">
        <f>"Causación Compra"</f>
        <v>Causación Compra</v>
      </c>
      <c r="C300" s="28">
        <f ca="1">mercancia!B61</f>
        <v>46138</v>
      </c>
      <c r="D300" s="69" t="str">
        <f>"236805"</f>
        <v>236805</v>
      </c>
      <c r="E300" s="27" t="str">
        <f>"Retención ICA - Medellín 11.04‰"</f>
        <v>Retención ICA - Medellín 11.04‰</v>
      </c>
      <c r="F300" s="27" t="str">
        <f ca="1">mercancia!C61</f>
        <v>Suministros Ferreteros La 80 Ltda.</v>
      </c>
      <c r="G300" s="29" t="str" cm="1">
        <f t="array" aca="1" ref="G300" ca="1">INDIRECT("mercancia!D"&amp;(INT((ROW()-2)/5)+2))</f>
        <v>900.678.901-6</v>
      </c>
      <c r="H300" s="27" t="str">
        <f>CHOOSE(MOD(59,3)+1,"CC-100 Bodega Central","CC-101 Sucursal Centro","CC-102 Sucursal Itagüí")</f>
        <v>CC-102 Sucursal Itagüí</v>
      </c>
      <c r="I300" s="27" t="str">
        <f>"ReteICA Medellín sobre compra "&amp;mercancia!A61</f>
        <v>ReteICA Medellín sobre compra FE-1060</v>
      </c>
      <c r="J300" s="30">
        <f>0</f>
        <v>0</v>
      </c>
      <c r="K300" s="30">
        <f ca="1">mercancia!N61</f>
        <v>72352</v>
      </c>
      <c r="L300" s="31" t="str">
        <f>mercancia!A61</f>
        <v>FE-1060</v>
      </c>
    </row>
    <row r="301" spans="1:12" x14ac:dyDescent="0.35">
      <c r="A301" s="26" t="str">
        <f>"CC-MC-"&amp;TEXT(1059,"0000")</f>
        <v>CC-MC-1059</v>
      </c>
      <c r="B301" s="27" t="str">
        <f>"Causación Compra"</f>
        <v>Causación Compra</v>
      </c>
      <c r="C301" s="28">
        <f ca="1">mercancia!B61</f>
        <v>46138</v>
      </c>
      <c r="D301" s="69" t="str">
        <f>"220505"</f>
        <v>220505</v>
      </c>
      <c r="E301" s="27" t="str">
        <f>"Proveedores nacionales"</f>
        <v>Proveedores nacionales</v>
      </c>
      <c r="F301" s="27" t="str">
        <f ca="1">mercancia!C61</f>
        <v>Suministros Ferreteros La 80 Ltda.</v>
      </c>
      <c r="G301" s="29" t="str" cm="1">
        <f t="array" aca="1" ref="G301" ca="1">INDIRECT("mercancia!D"&amp;(INT((ROW()-2)/5)+2))</f>
        <v>900.678.901-6</v>
      </c>
      <c r="H301" s="27" t="str">
        <f>CHOOSE(MOD(59,3)+1,"CC-100 Bodega Central","CC-101 Sucursal Centro","CC-102 Sucursal Itagüí")</f>
        <v>CC-102 Sucursal Itagüí</v>
      </c>
      <c r="I301" s="27" t="str">
        <f>"Cuenta por pagar proveedor - "&amp;mercancia!A61</f>
        <v>Cuenta por pagar proveedor - FE-1060</v>
      </c>
      <c r="J301" s="30">
        <f>0</f>
        <v>0</v>
      </c>
      <c r="K301" s="30">
        <f ca="1">mercancia!O61</f>
        <v>7562592</v>
      </c>
      <c r="L301" s="31" t="str">
        <f>mercancia!A61</f>
        <v>FE-1060</v>
      </c>
    </row>
    <row r="302" spans="1:12" x14ac:dyDescent="0.35">
      <c r="A302" s="20" t="str">
        <f>"CC-MC-"&amp;TEXT(1060,"0000")</f>
        <v>CC-MC-1060</v>
      </c>
      <c r="B302" s="21" t="str">
        <f>"Causación Compra"</f>
        <v>Causación Compra</v>
      </c>
      <c r="C302" s="22">
        <f ca="1">mercancia!B62</f>
        <v>46079</v>
      </c>
      <c r="D302" s="68" t="str">
        <f>"143505"</f>
        <v>143505</v>
      </c>
      <c r="E302" s="21" t="str">
        <f>"Mercancías no fabricadas por la empresa"</f>
        <v>Mercancías no fabricadas por la empresa</v>
      </c>
      <c r="F302" s="21" t="str">
        <f ca="1">mercancia!C62</f>
        <v>Distribuciones Itagüí Ferretera Ltda.</v>
      </c>
      <c r="G302" s="23" t="str" cm="1">
        <f t="array" aca="1" ref="G302" ca="1">INDIRECT("mercancia!D"&amp;(INT((ROW()-2)/5)+2))</f>
        <v>901.456.789-4</v>
      </c>
      <c r="H302" s="21" t="str">
        <f>CHOOSE(MOD(60,3)+1,"CC-100 Bodega Central","CC-101 Sucursal Centro","CC-102 Sucursal Itagüí")</f>
        <v>CC-100 Bodega Central</v>
      </c>
      <c r="I302" s="21" t="str">
        <f ca="1">"Compra mercancía - "&amp;mercancia!E62&amp;" - "&amp;mercancia!A62</f>
        <v>Compra mercancía - Destornillador de pala 1/4" - FE-1061</v>
      </c>
      <c r="J302" s="24">
        <f ca="1">mercancia!H62</f>
        <v>2442000</v>
      </c>
      <c r="K302" s="24">
        <f>0</f>
        <v>0</v>
      </c>
      <c r="L302" s="25" t="str">
        <f>mercancia!A62</f>
        <v>FE-1061</v>
      </c>
    </row>
    <row r="303" spans="1:12" x14ac:dyDescent="0.35">
      <c r="A303" s="20" t="str">
        <f>"CC-MC-"&amp;TEXT(1060,"0000")</f>
        <v>CC-MC-1060</v>
      </c>
      <c r="B303" s="21" t="str">
        <f>"Causación Compra"</f>
        <v>Causación Compra</v>
      </c>
      <c r="C303" s="22">
        <f ca="1">mercancia!B62</f>
        <v>46079</v>
      </c>
      <c r="D303" s="68" t="str">
        <f>"240805"</f>
        <v>240805</v>
      </c>
      <c r="E303" s="21" t="str">
        <f>"IVA descontable - 19%"</f>
        <v>IVA descontable - 19%</v>
      </c>
      <c r="F303" s="21" t="str">
        <f ca="1">mercancia!C62</f>
        <v>Distribuciones Itagüí Ferretera Ltda.</v>
      </c>
      <c r="G303" s="23" t="str" cm="1">
        <f t="array" aca="1" ref="G303" ca="1">INDIRECT("mercancia!D"&amp;(INT((ROW()-2)/5)+2))</f>
        <v>901.456.789-4</v>
      </c>
      <c r="H303" s="21" t="str">
        <f>CHOOSE(MOD(60,3)+1,"CC-100 Bodega Central","CC-101 Sucursal Centro","CC-102 Sucursal Itagüí")</f>
        <v>CC-100 Bodega Central</v>
      </c>
      <c r="I303" s="21" t="str">
        <f>"IVA descontable factura "&amp;mercancia!A62</f>
        <v>IVA descontable factura FE-1061</v>
      </c>
      <c r="J303" s="24">
        <f ca="1">mercancia!I62</f>
        <v>463980</v>
      </c>
      <c r="K303" s="24">
        <f>0</f>
        <v>0</v>
      </c>
      <c r="L303" s="25" t="str">
        <f>mercancia!A62</f>
        <v>FE-1061</v>
      </c>
    </row>
    <row r="304" spans="1:12" x14ac:dyDescent="0.35">
      <c r="A304" s="20" t="str">
        <f>"CC-MC-"&amp;TEXT(1060,"0000")</f>
        <v>CC-MC-1060</v>
      </c>
      <c r="B304" s="21" t="str">
        <f>"Causación Compra"</f>
        <v>Causación Compra</v>
      </c>
      <c r="C304" s="22">
        <f ca="1">mercancia!B62</f>
        <v>46079</v>
      </c>
      <c r="D304" s="68" t="str">
        <f>"236540"</f>
        <v>236540</v>
      </c>
      <c r="E304" s="21" t="str">
        <f>"Retención en la fuente - Compras"</f>
        <v>Retención en la fuente - Compras</v>
      </c>
      <c r="F304" s="21" t="str">
        <f ca="1">mercancia!C62</f>
        <v>Distribuciones Itagüí Ferretera Ltda.</v>
      </c>
      <c r="G304" s="23" t="str" cm="1">
        <f t="array" aca="1" ref="G304" ca="1">INDIRECT("mercancia!D"&amp;(INT((ROW()-2)/5)+2))</f>
        <v>901.456.789-4</v>
      </c>
      <c r="H304" s="21" t="str">
        <f>CHOOSE(MOD(60,3)+1,"CC-100 Bodega Central","CC-101 Sucursal Centro","CC-102 Sucursal Itagüí")</f>
        <v>CC-100 Bodega Central</v>
      </c>
      <c r="I304" s="21" t="str">
        <f ca="1">"ReteFuente "&amp;TEXT(mercancia!K62,"0.0%")&amp;" sobre compra "&amp;mercancia!A62</f>
        <v>ReteFuente 04% sobre compra FE-1061</v>
      </c>
      <c r="J304" s="24">
        <f>0</f>
        <v>0</v>
      </c>
      <c r="K304" s="24">
        <f ca="1">mercancia!L62</f>
        <v>85470</v>
      </c>
      <c r="L304" s="25" t="str">
        <f>mercancia!A62</f>
        <v>FE-1061</v>
      </c>
    </row>
    <row r="305" spans="1:12" x14ac:dyDescent="0.35">
      <c r="A305" s="20" t="str">
        <f>"CC-MC-"&amp;TEXT(1060,"0000")</f>
        <v>CC-MC-1060</v>
      </c>
      <c r="B305" s="21" t="str">
        <f>"Causación Compra"</f>
        <v>Causación Compra</v>
      </c>
      <c r="C305" s="22">
        <f ca="1">mercancia!B62</f>
        <v>46079</v>
      </c>
      <c r="D305" s="68" t="str">
        <f>"236805"</f>
        <v>236805</v>
      </c>
      <c r="E305" s="21" t="str">
        <f>"Retención ICA - Medellín 11.04‰"</f>
        <v>Retención ICA - Medellín 11.04‰</v>
      </c>
      <c r="F305" s="21" t="str">
        <f ca="1">mercancia!C62</f>
        <v>Distribuciones Itagüí Ferretera Ltda.</v>
      </c>
      <c r="G305" s="23" t="str" cm="1">
        <f t="array" aca="1" ref="G305" ca="1">INDIRECT("mercancia!D"&amp;(INT((ROW()-2)/5)+2))</f>
        <v>901.456.789-4</v>
      </c>
      <c r="H305" s="21" t="str">
        <f>CHOOSE(MOD(60,3)+1,"CC-100 Bodega Central","CC-101 Sucursal Centro","CC-102 Sucursal Itagüí")</f>
        <v>CC-100 Bodega Central</v>
      </c>
      <c r="I305" s="21" t="str">
        <f>"ReteICA Medellín sobre compra "&amp;mercancia!A62</f>
        <v>ReteICA Medellín sobre compra FE-1061</v>
      </c>
      <c r="J305" s="24">
        <f>0</f>
        <v>0</v>
      </c>
      <c r="K305" s="24">
        <f ca="1">mercancia!N62</f>
        <v>26960</v>
      </c>
      <c r="L305" s="25" t="str">
        <f>mercancia!A62</f>
        <v>FE-1061</v>
      </c>
    </row>
    <row r="306" spans="1:12" x14ac:dyDescent="0.35">
      <c r="A306" s="20" t="str">
        <f>"CC-MC-"&amp;TEXT(1060,"0000")</f>
        <v>CC-MC-1060</v>
      </c>
      <c r="B306" s="21" t="str">
        <f>"Causación Compra"</f>
        <v>Causación Compra</v>
      </c>
      <c r="C306" s="22">
        <f ca="1">mercancia!B62</f>
        <v>46079</v>
      </c>
      <c r="D306" s="68" t="str">
        <f>"220505"</f>
        <v>220505</v>
      </c>
      <c r="E306" s="21" t="str">
        <f>"Proveedores nacionales"</f>
        <v>Proveedores nacionales</v>
      </c>
      <c r="F306" s="21" t="str">
        <f ca="1">mercancia!C62</f>
        <v>Distribuciones Itagüí Ferretera Ltda.</v>
      </c>
      <c r="G306" s="23" t="str" cm="1">
        <f t="array" aca="1" ref="G306" ca="1">INDIRECT("mercancia!D"&amp;(INT((ROW()-2)/5)+2))</f>
        <v>901.456.789-4</v>
      </c>
      <c r="H306" s="21" t="str">
        <f>CHOOSE(MOD(60,3)+1,"CC-100 Bodega Central","CC-101 Sucursal Centro","CC-102 Sucursal Itagüí")</f>
        <v>CC-100 Bodega Central</v>
      </c>
      <c r="I306" s="21" t="str">
        <f>"Cuenta por pagar proveedor - "&amp;mercancia!A62</f>
        <v>Cuenta por pagar proveedor - FE-1061</v>
      </c>
      <c r="J306" s="24">
        <f>0</f>
        <v>0</v>
      </c>
      <c r="K306" s="24">
        <f ca="1">mercancia!O62</f>
        <v>2793550</v>
      </c>
      <c r="L306" s="25" t="str">
        <f>mercancia!A62</f>
        <v>FE-1061</v>
      </c>
    </row>
    <row r="307" spans="1:12" x14ac:dyDescent="0.35">
      <c r="A307" s="26" t="str">
        <f>"CC-MC-"&amp;TEXT(1061,"0000")</f>
        <v>CC-MC-1061</v>
      </c>
      <c r="B307" s="27" t="str">
        <f>"Causación Compra"</f>
        <v>Causación Compra</v>
      </c>
      <c r="C307" s="28">
        <f ca="1">mercancia!B63</f>
        <v>46035</v>
      </c>
      <c r="D307" s="69" t="str">
        <f>"143505"</f>
        <v>143505</v>
      </c>
      <c r="E307" s="27" t="str">
        <f>"Mercancías no fabricadas por la empresa"</f>
        <v>Mercancías no fabricadas por la empresa</v>
      </c>
      <c r="F307" s="27" t="str">
        <f ca="1">mercancia!C63</f>
        <v>Aceros de la Montaña S.A.S.</v>
      </c>
      <c r="G307" s="29" t="str" cm="1">
        <f t="array" aca="1" ref="G307" ca="1">INDIRECT("mercancia!D"&amp;(INT((ROW()-2)/5)+2))</f>
        <v>900.123.456-1</v>
      </c>
      <c r="H307" s="27" t="str">
        <f>CHOOSE(MOD(61,3)+1,"CC-100 Bodega Central","CC-101 Sucursal Centro","CC-102 Sucursal Itagüí")</f>
        <v>CC-101 Sucursal Centro</v>
      </c>
      <c r="I307" s="27" t="str">
        <f ca="1">"Compra mercancía - "&amp;mercancia!E63&amp;" - "&amp;mercancia!A63</f>
        <v>Compra mercancía - Ferretería Antioqueña Ltda. - FE-1062</v>
      </c>
      <c r="J307" s="30">
        <f ca="1">mercancia!H63</f>
        <v>2952000</v>
      </c>
      <c r="K307" s="30">
        <f>0</f>
        <v>0</v>
      </c>
      <c r="L307" s="31" t="str">
        <f>mercancia!A63</f>
        <v>FE-1062</v>
      </c>
    </row>
    <row r="308" spans="1:12" x14ac:dyDescent="0.35">
      <c r="A308" s="26" t="str">
        <f>"CC-MC-"&amp;TEXT(1061,"0000")</f>
        <v>CC-MC-1061</v>
      </c>
      <c r="B308" s="27" t="str">
        <f>"Causación Compra"</f>
        <v>Causación Compra</v>
      </c>
      <c r="C308" s="28">
        <f ca="1">mercancia!B63</f>
        <v>46035</v>
      </c>
      <c r="D308" s="69" t="str">
        <f>"240805"</f>
        <v>240805</v>
      </c>
      <c r="E308" s="27" t="str">
        <f>"IVA descontable - 19%"</f>
        <v>IVA descontable - 19%</v>
      </c>
      <c r="F308" s="27" t="str">
        <f ca="1">mercancia!C63</f>
        <v>Aceros de la Montaña S.A.S.</v>
      </c>
      <c r="G308" s="29" t="str" cm="1">
        <f t="array" aca="1" ref="G308" ca="1">INDIRECT("mercancia!D"&amp;(INT((ROW()-2)/5)+2))</f>
        <v>900.123.456-1</v>
      </c>
      <c r="H308" s="27" t="str">
        <f>CHOOSE(MOD(61,3)+1,"CC-100 Bodega Central","CC-101 Sucursal Centro","CC-102 Sucursal Itagüí")</f>
        <v>CC-101 Sucursal Centro</v>
      </c>
      <c r="I308" s="27" t="str">
        <f>"IVA descontable factura "&amp;mercancia!A63</f>
        <v>IVA descontable factura FE-1062</v>
      </c>
      <c r="J308" s="30">
        <f ca="1">mercancia!I63</f>
        <v>560880</v>
      </c>
      <c r="K308" s="30">
        <f>0</f>
        <v>0</v>
      </c>
      <c r="L308" s="31" t="str">
        <f>mercancia!A63</f>
        <v>FE-1062</v>
      </c>
    </row>
    <row r="309" spans="1:12" x14ac:dyDescent="0.35">
      <c r="A309" s="26" t="str">
        <f>"CC-MC-"&amp;TEXT(1061,"0000")</f>
        <v>CC-MC-1061</v>
      </c>
      <c r="B309" s="27" t="str">
        <f>"Causación Compra"</f>
        <v>Causación Compra</v>
      </c>
      <c r="C309" s="28">
        <f ca="1">mercancia!B63</f>
        <v>46035</v>
      </c>
      <c r="D309" s="69" t="str">
        <f>"236540"</f>
        <v>236540</v>
      </c>
      <c r="E309" s="27" t="str">
        <f>"Retención en la fuente - Compras"</f>
        <v>Retención en la fuente - Compras</v>
      </c>
      <c r="F309" s="27" t="str">
        <f ca="1">mercancia!C63</f>
        <v>Aceros de la Montaña S.A.S.</v>
      </c>
      <c r="G309" s="29" t="str" cm="1">
        <f t="array" aca="1" ref="G309" ca="1">INDIRECT("mercancia!D"&amp;(INT((ROW()-2)/5)+2))</f>
        <v>900.123.456-1</v>
      </c>
      <c r="H309" s="27" t="str">
        <f>CHOOSE(MOD(61,3)+1,"CC-100 Bodega Central","CC-101 Sucursal Centro","CC-102 Sucursal Itagüí")</f>
        <v>CC-101 Sucursal Centro</v>
      </c>
      <c r="I309" s="27" t="str">
        <f ca="1">"ReteFuente "&amp;TEXT(mercancia!K63,"0.0%")&amp;" sobre compra "&amp;mercancia!A63</f>
        <v>ReteFuente 03% sobre compra FE-1062</v>
      </c>
      <c r="J309" s="30">
        <f>0</f>
        <v>0</v>
      </c>
      <c r="K309" s="30">
        <f ca="1">mercancia!L63</f>
        <v>73800</v>
      </c>
      <c r="L309" s="31" t="str">
        <f>mercancia!A63</f>
        <v>FE-1062</v>
      </c>
    </row>
    <row r="310" spans="1:12" x14ac:dyDescent="0.35">
      <c r="A310" s="26" t="str">
        <f>"CC-MC-"&amp;TEXT(1061,"0000")</f>
        <v>CC-MC-1061</v>
      </c>
      <c r="B310" s="27" t="str">
        <f>"Causación Compra"</f>
        <v>Causación Compra</v>
      </c>
      <c r="C310" s="28">
        <f ca="1">mercancia!B63</f>
        <v>46035</v>
      </c>
      <c r="D310" s="69" t="str">
        <f>"236805"</f>
        <v>236805</v>
      </c>
      <c r="E310" s="27" t="str">
        <f>"Retención ICA - Medellín 11.04‰"</f>
        <v>Retención ICA - Medellín 11.04‰</v>
      </c>
      <c r="F310" s="27" t="str">
        <f ca="1">mercancia!C63</f>
        <v>Aceros de la Montaña S.A.S.</v>
      </c>
      <c r="G310" s="29" t="str" cm="1">
        <f t="array" aca="1" ref="G310" ca="1">INDIRECT("mercancia!D"&amp;(INT((ROW()-2)/5)+2))</f>
        <v>900.123.456-1</v>
      </c>
      <c r="H310" s="27" t="str">
        <f>CHOOSE(MOD(61,3)+1,"CC-100 Bodega Central","CC-101 Sucursal Centro","CC-102 Sucursal Itagüí")</f>
        <v>CC-101 Sucursal Centro</v>
      </c>
      <c r="I310" s="27" t="str">
        <f>"ReteICA Medellín sobre compra "&amp;mercancia!A63</f>
        <v>ReteICA Medellín sobre compra FE-1062</v>
      </c>
      <c r="J310" s="30">
        <f>0</f>
        <v>0</v>
      </c>
      <c r="K310" s="30">
        <f ca="1">mercancia!N63</f>
        <v>32590</v>
      </c>
      <c r="L310" s="31" t="str">
        <f>mercancia!A63</f>
        <v>FE-1062</v>
      </c>
    </row>
    <row r="311" spans="1:12" x14ac:dyDescent="0.35">
      <c r="A311" s="26" t="str">
        <f>"CC-MC-"&amp;TEXT(1061,"0000")</f>
        <v>CC-MC-1061</v>
      </c>
      <c r="B311" s="27" t="str">
        <f>"Causación Compra"</f>
        <v>Causación Compra</v>
      </c>
      <c r="C311" s="28">
        <f ca="1">mercancia!B63</f>
        <v>46035</v>
      </c>
      <c r="D311" s="69" t="str">
        <f>"220505"</f>
        <v>220505</v>
      </c>
      <c r="E311" s="27" t="str">
        <f>"Proveedores nacionales"</f>
        <v>Proveedores nacionales</v>
      </c>
      <c r="F311" s="27" t="str">
        <f ca="1">mercancia!C63</f>
        <v>Aceros de la Montaña S.A.S.</v>
      </c>
      <c r="G311" s="29" t="str" cm="1">
        <f t="array" aca="1" ref="G311" ca="1">INDIRECT("mercancia!D"&amp;(INT((ROW()-2)/5)+2))</f>
        <v>900.123.456-1</v>
      </c>
      <c r="H311" s="27" t="str">
        <f>CHOOSE(MOD(61,3)+1,"CC-100 Bodega Central","CC-101 Sucursal Centro","CC-102 Sucursal Itagüí")</f>
        <v>CC-101 Sucursal Centro</v>
      </c>
      <c r="I311" s="27" t="str">
        <f>"Cuenta por pagar proveedor - "&amp;mercancia!A63</f>
        <v>Cuenta por pagar proveedor - FE-1062</v>
      </c>
      <c r="J311" s="30">
        <f>0</f>
        <v>0</v>
      </c>
      <c r="K311" s="30">
        <f ca="1">mercancia!O63</f>
        <v>3406490</v>
      </c>
      <c r="L311" s="31" t="str">
        <f>mercancia!A63</f>
        <v>FE-1062</v>
      </c>
    </row>
    <row r="312" spans="1:12" x14ac:dyDescent="0.35">
      <c r="A312" s="20" t="str">
        <f>"CC-MC-"&amp;TEXT(1062,"0000")</f>
        <v>CC-MC-1062</v>
      </c>
      <c r="B312" s="21" t="str">
        <f>"Causación Compra"</f>
        <v>Causación Compra</v>
      </c>
      <c r="C312" s="22">
        <f ca="1">mercancia!B64</f>
        <v>46057</v>
      </c>
      <c r="D312" s="68" t="str">
        <f>"143505"</f>
        <v>143505</v>
      </c>
      <c r="E312" s="21" t="str">
        <f>"Mercancías no fabricadas por la empresa"</f>
        <v>Mercancías no fabricadas por la empresa</v>
      </c>
      <c r="F312" s="21" t="str">
        <f ca="1">mercancia!C64</f>
        <v>Tubos y Conexiones Envigado Ltda.</v>
      </c>
      <c r="G312" s="23" t="str" cm="1">
        <f t="array" aca="1" ref="G312" ca="1">INDIRECT("mercancia!D"&amp;(INT((ROW()-2)/5)+2))</f>
        <v>901.012.345-0</v>
      </c>
      <c r="H312" s="21" t="str">
        <f>CHOOSE(MOD(62,3)+1,"CC-100 Bodega Central","CC-101 Sucursal Centro","CC-102 Sucursal Itagüí")</f>
        <v>CC-102 Sucursal Itagüí</v>
      </c>
      <c r="I312" s="21" t="str">
        <f ca="1">"Compra mercancía - "&amp;mercancia!E64&amp;" - "&amp;mercancia!A64</f>
        <v>Compra mercancía - Aceros de la Montaña S.A.S. - FE-1063</v>
      </c>
      <c r="J312" s="24">
        <f ca="1">mercancia!H64</f>
        <v>31609200</v>
      </c>
      <c r="K312" s="24">
        <f>0</f>
        <v>0</v>
      </c>
      <c r="L312" s="25" t="str">
        <f>mercancia!A64</f>
        <v>FE-1063</v>
      </c>
    </row>
    <row r="313" spans="1:12" x14ac:dyDescent="0.35">
      <c r="A313" s="20" t="str">
        <f>"CC-MC-"&amp;TEXT(1062,"0000")</f>
        <v>CC-MC-1062</v>
      </c>
      <c r="B313" s="21" t="str">
        <f>"Causación Compra"</f>
        <v>Causación Compra</v>
      </c>
      <c r="C313" s="22">
        <f ca="1">mercancia!B64</f>
        <v>46057</v>
      </c>
      <c r="D313" s="68" t="str">
        <f>"240805"</f>
        <v>240805</v>
      </c>
      <c r="E313" s="21" t="str">
        <f>"IVA descontable - 19%"</f>
        <v>IVA descontable - 19%</v>
      </c>
      <c r="F313" s="21" t="str">
        <f ca="1">mercancia!C64</f>
        <v>Tubos y Conexiones Envigado Ltda.</v>
      </c>
      <c r="G313" s="23" t="str" cm="1">
        <f t="array" aca="1" ref="G313" ca="1">INDIRECT("mercancia!D"&amp;(INT((ROW()-2)/5)+2))</f>
        <v>901.012.345-0</v>
      </c>
      <c r="H313" s="21" t="str">
        <f>CHOOSE(MOD(62,3)+1,"CC-100 Bodega Central","CC-101 Sucursal Centro","CC-102 Sucursal Itagüí")</f>
        <v>CC-102 Sucursal Itagüí</v>
      </c>
      <c r="I313" s="21" t="str">
        <f>"IVA descontable factura "&amp;mercancia!A64</f>
        <v>IVA descontable factura FE-1063</v>
      </c>
      <c r="J313" s="24">
        <f ca="1">mercancia!I64</f>
        <v>6005748</v>
      </c>
      <c r="K313" s="24">
        <f>0</f>
        <v>0</v>
      </c>
      <c r="L313" s="25" t="str">
        <f>mercancia!A64</f>
        <v>FE-1063</v>
      </c>
    </row>
    <row r="314" spans="1:12" x14ac:dyDescent="0.35">
      <c r="A314" s="20" t="str">
        <f>"CC-MC-"&amp;TEXT(1062,"0000")</f>
        <v>CC-MC-1062</v>
      </c>
      <c r="B314" s="21" t="str">
        <f>"Causación Compra"</f>
        <v>Causación Compra</v>
      </c>
      <c r="C314" s="22">
        <f ca="1">mercancia!B64</f>
        <v>46057</v>
      </c>
      <c r="D314" s="68" t="str">
        <f>"236540"</f>
        <v>236540</v>
      </c>
      <c r="E314" s="21" t="str">
        <f>"Retención en la fuente - Compras"</f>
        <v>Retención en la fuente - Compras</v>
      </c>
      <c r="F314" s="21" t="str">
        <f ca="1">mercancia!C64</f>
        <v>Tubos y Conexiones Envigado Ltda.</v>
      </c>
      <c r="G314" s="23" t="str" cm="1">
        <f t="array" aca="1" ref="G314" ca="1">INDIRECT("mercancia!D"&amp;(INT((ROW()-2)/5)+2))</f>
        <v>901.012.345-0</v>
      </c>
      <c r="H314" s="21" t="str">
        <f>CHOOSE(MOD(62,3)+1,"CC-100 Bodega Central","CC-101 Sucursal Centro","CC-102 Sucursal Itagüí")</f>
        <v>CC-102 Sucursal Itagüí</v>
      </c>
      <c r="I314" s="21" t="str">
        <f ca="1">"ReteFuente "&amp;TEXT(mercancia!K64,"0.0%")&amp;" sobre compra "&amp;mercancia!A64</f>
        <v>ReteFuente 03% sobre compra FE-1063</v>
      </c>
      <c r="J314" s="24">
        <f>0</f>
        <v>0</v>
      </c>
      <c r="K314" s="24">
        <f ca="1">mercancia!L64</f>
        <v>790230</v>
      </c>
      <c r="L314" s="25" t="str">
        <f>mercancia!A64</f>
        <v>FE-1063</v>
      </c>
    </row>
    <row r="315" spans="1:12" x14ac:dyDescent="0.35">
      <c r="A315" s="20" t="str">
        <f>"CC-MC-"&amp;TEXT(1062,"0000")</f>
        <v>CC-MC-1062</v>
      </c>
      <c r="B315" s="21" t="str">
        <f>"Causación Compra"</f>
        <v>Causación Compra</v>
      </c>
      <c r="C315" s="22">
        <f ca="1">mercancia!B64</f>
        <v>46057</v>
      </c>
      <c r="D315" s="68" t="str">
        <f>"236805"</f>
        <v>236805</v>
      </c>
      <c r="E315" s="21" t="str">
        <f>"Retención ICA - Medellín 11.04‰"</f>
        <v>Retención ICA - Medellín 11.04‰</v>
      </c>
      <c r="F315" s="21" t="str">
        <f ca="1">mercancia!C64</f>
        <v>Tubos y Conexiones Envigado Ltda.</v>
      </c>
      <c r="G315" s="23" t="str" cm="1">
        <f t="array" aca="1" ref="G315" ca="1">INDIRECT("mercancia!D"&amp;(INT((ROW()-2)/5)+2))</f>
        <v>901.012.345-0</v>
      </c>
      <c r="H315" s="21" t="str">
        <f>CHOOSE(MOD(62,3)+1,"CC-100 Bodega Central","CC-101 Sucursal Centro","CC-102 Sucursal Itagüí")</f>
        <v>CC-102 Sucursal Itagüí</v>
      </c>
      <c r="I315" s="21" t="str">
        <f>"ReteICA Medellín sobre compra "&amp;mercancia!A64</f>
        <v>ReteICA Medellín sobre compra FE-1063</v>
      </c>
      <c r="J315" s="24">
        <f>0</f>
        <v>0</v>
      </c>
      <c r="K315" s="24">
        <f ca="1">mercancia!N64</f>
        <v>348966</v>
      </c>
      <c r="L315" s="25" t="str">
        <f>mercancia!A64</f>
        <v>FE-1063</v>
      </c>
    </row>
    <row r="316" spans="1:12" x14ac:dyDescent="0.35">
      <c r="A316" s="20" t="str">
        <f>"CC-MC-"&amp;TEXT(1062,"0000")</f>
        <v>CC-MC-1062</v>
      </c>
      <c r="B316" s="21" t="str">
        <f>"Causación Compra"</f>
        <v>Causación Compra</v>
      </c>
      <c r="C316" s="22">
        <f ca="1">mercancia!B64</f>
        <v>46057</v>
      </c>
      <c r="D316" s="68" t="str">
        <f>"220505"</f>
        <v>220505</v>
      </c>
      <c r="E316" s="21" t="str">
        <f>"Proveedores nacionales"</f>
        <v>Proveedores nacionales</v>
      </c>
      <c r="F316" s="21" t="str">
        <f ca="1">mercancia!C64</f>
        <v>Tubos y Conexiones Envigado Ltda.</v>
      </c>
      <c r="G316" s="23" t="str" cm="1">
        <f t="array" aca="1" ref="G316" ca="1">INDIRECT("mercancia!D"&amp;(INT((ROW()-2)/5)+2))</f>
        <v>901.012.345-0</v>
      </c>
      <c r="H316" s="21" t="str">
        <f>CHOOSE(MOD(62,3)+1,"CC-100 Bodega Central","CC-101 Sucursal Centro","CC-102 Sucursal Itagüí")</f>
        <v>CC-102 Sucursal Itagüí</v>
      </c>
      <c r="I316" s="21" t="str">
        <f>"Cuenta por pagar proveedor - "&amp;mercancia!A64</f>
        <v>Cuenta por pagar proveedor - FE-1063</v>
      </c>
      <c r="J316" s="24">
        <f>0</f>
        <v>0</v>
      </c>
      <c r="K316" s="24">
        <f ca="1">mercancia!O64</f>
        <v>36475752</v>
      </c>
      <c r="L316" s="25" t="str">
        <f>mercancia!A64</f>
        <v>FE-1063</v>
      </c>
    </row>
    <row r="317" spans="1:12" x14ac:dyDescent="0.35">
      <c r="A317" s="26" t="str">
        <f>"CC-MC-"&amp;TEXT(1063,"0000")</f>
        <v>CC-MC-1063</v>
      </c>
      <c r="B317" s="27" t="str">
        <f>"Causación Compra"</f>
        <v>Causación Compra</v>
      </c>
      <c r="C317" s="28">
        <f ca="1">mercancia!B65</f>
        <v>46129</v>
      </c>
      <c r="D317" s="69" t="str">
        <f>"143505"</f>
        <v>143505</v>
      </c>
      <c r="E317" s="27" t="str">
        <f>"Mercancías no fabricadas por la empresa"</f>
        <v>Mercancías no fabricadas por la empresa</v>
      </c>
      <c r="F317" s="27" t="str">
        <f ca="1">mercancia!C65</f>
        <v>Tubos y Conexiones Envigado Ltda.</v>
      </c>
      <c r="G317" s="29" t="str" cm="1">
        <f t="array" aca="1" ref="G317" ca="1">INDIRECT("mercancia!D"&amp;(INT((ROW()-2)/5)+2))</f>
        <v>901.012.345-0</v>
      </c>
      <c r="H317" s="27" t="str">
        <f>CHOOSE(MOD(63,3)+1,"CC-100 Bodega Central","CC-101 Sucursal Centro","CC-102 Sucursal Itagüí")</f>
        <v>CC-100 Bodega Central</v>
      </c>
      <c r="I317" s="27" t="str">
        <f ca="1">"Compra mercancía - "&amp;mercancia!E65&amp;" - "&amp;mercancia!A65</f>
        <v>Compra mercancía - Tornillería Nacional del Valle de Aburrá - FE-1064</v>
      </c>
      <c r="J317" s="30">
        <f ca="1">mercancia!H65</f>
        <v>1715000</v>
      </c>
      <c r="K317" s="30">
        <f>0</f>
        <v>0</v>
      </c>
      <c r="L317" s="31" t="str">
        <f>mercancia!A65</f>
        <v>FE-1064</v>
      </c>
    </row>
    <row r="318" spans="1:12" x14ac:dyDescent="0.35">
      <c r="A318" s="26" t="str">
        <f>"CC-MC-"&amp;TEXT(1063,"0000")</f>
        <v>CC-MC-1063</v>
      </c>
      <c r="B318" s="27" t="str">
        <f>"Causación Compra"</f>
        <v>Causación Compra</v>
      </c>
      <c r="C318" s="28">
        <f ca="1">mercancia!B65</f>
        <v>46129</v>
      </c>
      <c r="D318" s="69" t="str">
        <f>"240805"</f>
        <v>240805</v>
      </c>
      <c r="E318" s="27" t="str">
        <f>"IVA descontable - 19%"</f>
        <v>IVA descontable - 19%</v>
      </c>
      <c r="F318" s="27" t="str">
        <f ca="1">mercancia!C65</f>
        <v>Tubos y Conexiones Envigado Ltda.</v>
      </c>
      <c r="G318" s="29" t="str" cm="1">
        <f t="array" aca="1" ref="G318" ca="1">INDIRECT("mercancia!D"&amp;(INT((ROW()-2)/5)+2))</f>
        <v>901.012.345-0</v>
      </c>
      <c r="H318" s="27" t="str">
        <f>CHOOSE(MOD(63,3)+1,"CC-100 Bodega Central","CC-101 Sucursal Centro","CC-102 Sucursal Itagüí")</f>
        <v>CC-100 Bodega Central</v>
      </c>
      <c r="I318" s="27" t="str">
        <f>"IVA descontable factura "&amp;mercancia!A65</f>
        <v>IVA descontable factura FE-1064</v>
      </c>
      <c r="J318" s="30">
        <f ca="1">mercancia!I65</f>
        <v>325850</v>
      </c>
      <c r="K318" s="30">
        <f>0</f>
        <v>0</v>
      </c>
      <c r="L318" s="31" t="str">
        <f>mercancia!A65</f>
        <v>FE-1064</v>
      </c>
    </row>
    <row r="319" spans="1:12" x14ac:dyDescent="0.35">
      <c r="A319" s="26" t="str">
        <f>"CC-MC-"&amp;TEXT(1063,"0000")</f>
        <v>CC-MC-1063</v>
      </c>
      <c r="B319" s="27" t="str">
        <f>"Causación Compra"</f>
        <v>Causación Compra</v>
      </c>
      <c r="C319" s="28">
        <f ca="1">mercancia!B65</f>
        <v>46129</v>
      </c>
      <c r="D319" s="69" t="str">
        <f>"236540"</f>
        <v>236540</v>
      </c>
      <c r="E319" s="27" t="str">
        <f>"Retención en la fuente - Compras"</f>
        <v>Retención en la fuente - Compras</v>
      </c>
      <c r="F319" s="27" t="str">
        <f ca="1">mercancia!C65</f>
        <v>Tubos y Conexiones Envigado Ltda.</v>
      </c>
      <c r="G319" s="29" t="str" cm="1">
        <f t="array" aca="1" ref="G319" ca="1">INDIRECT("mercancia!D"&amp;(INT((ROW()-2)/5)+2))</f>
        <v>901.012.345-0</v>
      </c>
      <c r="H319" s="27" t="str">
        <f>CHOOSE(MOD(63,3)+1,"CC-100 Bodega Central","CC-101 Sucursal Centro","CC-102 Sucursal Itagüí")</f>
        <v>CC-100 Bodega Central</v>
      </c>
      <c r="I319" s="27" t="str">
        <f ca="1">"ReteFuente "&amp;TEXT(mercancia!K65,"0.0%")&amp;" sobre compra "&amp;mercancia!A65</f>
        <v>ReteFuente 04% sobre compra FE-1064</v>
      </c>
      <c r="J319" s="30">
        <f>0</f>
        <v>0</v>
      </c>
      <c r="K319" s="30">
        <f ca="1">mercancia!L65</f>
        <v>60025</v>
      </c>
      <c r="L319" s="31" t="str">
        <f>mercancia!A65</f>
        <v>FE-1064</v>
      </c>
    </row>
    <row r="320" spans="1:12" x14ac:dyDescent="0.35">
      <c r="A320" s="26" t="str">
        <f>"CC-MC-"&amp;TEXT(1063,"0000")</f>
        <v>CC-MC-1063</v>
      </c>
      <c r="B320" s="27" t="str">
        <f>"Causación Compra"</f>
        <v>Causación Compra</v>
      </c>
      <c r="C320" s="28">
        <f ca="1">mercancia!B65</f>
        <v>46129</v>
      </c>
      <c r="D320" s="69" t="str">
        <f>"236805"</f>
        <v>236805</v>
      </c>
      <c r="E320" s="27" t="str">
        <f>"Retención ICA - Medellín 11.04‰"</f>
        <v>Retención ICA - Medellín 11.04‰</v>
      </c>
      <c r="F320" s="27" t="str">
        <f ca="1">mercancia!C65</f>
        <v>Tubos y Conexiones Envigado Ltda.</v>
      </c>
      <c r="G320" s="29" t="str" cm="1">
        <f t="array" aca="1" ref="G320" ca="1">INDIRECT("mercancia!D"&amp;(INT((ROW()-2)/5)+2))</f>
        <v>901.012.345-0</v>
      </c>
      <c r="H320" s="27" t="str">
        <f>CHOOSE(MOD(63,3)+1,"CC-100 Bodega Central","CC-101 Sucursal Centro","CC-102 Sucursal Itagüí")</f>
        <v>CC-100 Bodega Central</v>
      </c>
      <c r="I320" s="27" t="str">
        <f>"ReteICA Medellín sobre compra "&amp;mercancia!A65</f>
        <v>ReteICA Medellín sobre compra FE-1064</v>
      </c>
      <c r="J320" s="30">
        <f>0</f>
        <v>0</v>
      </c>
      <c r="K320" s="30">
        <f ca="1">mercancia!N65</f>
        <v>18934</v>
      </c>
      <c r="L320" s="31" t="str">
        <f>mercancia!A65</f>
        <v>FE-1064</v>
      </c>
    </row>
    <row r="321" spans="1:12" x14ac:dyDescent="0.35">
      <c r="A321" s="26" t="str">
        <f>"CC-MC-"&amp;TEXT(1063,"0000")</f>
        <v>CC-MC-1063</v>
      </c>
      <c r="B321" s="27" t="str">
        <f>"Causación Compra"</f>
        <v>Causación Compra</v>
      </c>
      <c r="C321" s="28">
        <f ca="1">mercancia!B65</f>
        <v>46129</v>
      </c>
      <c r="D321" s="69" t="str">
        <f>"220505"</f>
        <v>220505</v>
      </c>
      <c r="E321" s="27" t="str">
        <f>"Proveedores nacionales"</f>
        <v>Proveedores nacionales</v>
      </c>
      <c r="F321" s="27" t="str">
        <f ca="1">mercancia!C65</f>
        <v>Tubos y Conexiones Envigado Ltda.</v>
      </c>
      <c r="G321" s="29" t="str" cm="1">
        <f t="array" aca="1" ref="G321" ca="1">INDIRECT("mercancia!D"&amp;(INT((ROW()-2)/5)+2))</f>
        <v>901.012.345-0</v>
      </c>
      <c r="H321" s="27" t="str">
        <f>CHOOSE(MOD(63,3)+1,"CC-100 Bodega Central","CC-101 Sucursal Centro","CC-102 Sucursal Itagüí")</f>
        <v>CC-100 Bodega Central</v>
      </c>
      <c r="I321" s="27" t="str">
        <f>"Cuenta por pagar proveedor - "&amp;mercancia!A65</f>
        <v>Cuenta por pagar proveedor - FE-1064</v>
      </c>
      <c r="J321" s="30">
        <f>0</f>
        <v>0</v>
      </c>
      <c r="K321" s="30">
        <f ca="1">mercancia!O65</f>
        <v>1961891</v>
      </c>
      <c r="L321" s="31" t="str">
        <f>mercancia!A65</f>
        <v>FE-1064</v>
      </c>
    </row>
    <row r="322" spans="1:12" x14ac:dyDescent="0.35">
      <c r="A322" s="20" t="str">
        <f>"CC-MC-"&amp;TEXT(1064,"0000")</f>
        <v>CC-MC-1064</v>
      </c>
      <c r="B322" s="21" t="str">
        <f>"Causación Compra"</f>
        <v>Causación Compra</v>
      </c>
      <c r="C322" s="22">
        <f ca="1">mercancia!B66</f>
        <v>46100</v>
      </c>
      <c r="D322" s="68" t="str">
        <f>"143505"</f>
        <v>143505</v>
      </c>
      <c r="E322" s="21" t="str">
        <f>"Mercancías no fabricadas por la empresa"</f>
        <v>Mercancías no fabricadas por la empresa</v>
      </c>
      <c r="F322" s="21" t="str">
        <f ca="1">mercancia!C66</f>
        <v>Ferretería Antioqueña Ltda.</v>
      </c>
      <c r="G322" s="23" t="str" cm="1">
        <f t="array" aca="1" ref="G322" ca="1">INDIRECT("mercancia!D"&amp;(INT((ROW()-2)/5)+2))</f>
        <v>900.234.567-2</v>
      </c>
      <c r="H322" s="21" t="str">
        <f>CHOOSE(MOD(64,3)+1,"CC-100 Bodega Central","CC-101 Sucursal Centro","CC-102 Sucursal Itagüí")</f>
        <v>CC-101 Sucursal Centro</v>
      </c>
      <c r="I322" s="21" t="str">
        <f ca="1">"Compra mercancía - "&amp;mercancia!E66&amp;" - "&amp;mercancia!A66</f>
        <v>Compra mercancía - Tornillería Nacional del Valle de Aburrá - FE-1065</v>
      </c>
      <c r="J322" s="24">
        <f ca="1">mercancia!H66</f>
        <v>381000</v>
      </c>
      <c r="K322" s="24">
        <f>0</f>
        <v>0</v>
      </c>
      <c r="L322" s="25" t="str">
        <f>mercancia!A66</f>
        <v>FE-1065</v>
      </c>
    </row>
    <row r="323" spans="1:12" x14ac:dyDescent="0.35">
      <c r="A323" s="20" t="str">
        <f>"CC-MC-"&amp;TEXT(1064,"0000")</f>
        <v>CC-MC-1064</v>
      </c>
      <c r="B323" s="21" t="str">
        <f>"Causación Compra"</f>
        <v>Causación Compra</v>
      </c>
      <c r="C323" s="22">
        <f ca="1">mercancia!B66</f>
        <v>46100</v>
      </c>
      <c r="D323" s="68" t="str">
        <f>"240805"</f>
        <v>240805</v>
      </c>
      <c r="E323" s="21" t="str">
        <f>"IVA descontable - 19%"</f>
        <v>IVA descontable - 19%</v>
      </c>
      <c r="F323" s="21" t="str">
        <f ca="1">mercancia!C66</f>
        <v>Ferretería Antioqueña Ltda.</v>
      </c>
      <c r="G323" s="23" t="str" cm="1">
        <f t="array" aca="1" ref="G323" ca="1">INDIRECT("mercancia!D"&amp;(INT((ROW()-2)/5)+2))</f>
        <v>900.234.567-2</v>
      </c>
      <c r="H323" s="21" t="str">
        <f>CHOOSE(MOD(64,3)+1,"CC-100 Bodega Central","CC-101 Sucursal Centro","CC-102 Sucursal Itagüí")</f>
        <v>CC-101 Sucursal Centro</v>
      </c>
      <c r="I323" s="21" t="str">
        <f>"IVA descontable factura "&amp;mercancia!A66</f>
        <v>IVA descontable factura FE-1065</v>
      </c>
      <c r="J323" s="24">
        <f ca="1">mercancia!I66</f>
        <v>72390</v>
      </c>
      <c r="K323" s="24">
        <f>0</f>
        <v>0</v>
      </c>
      <c r="L323" s="25" t="str">
        <f>mercancia!A66</f>
        <v>FE-1065</v>
      </c>
    </row>
    <row r="324" spans="1:12" x14ac:dyDescent="0.35">
      <c r="A324" s="20" t="str">
        <f>"CC-MC-"&amp;TEXT(1064,"0000")</f>
        <v>CC-MC-1064</v>
      </c>
      <c r="B324" s="21" t="str">
        <f>"Causación Compra"</f>
        <v>Causación Compra</v>
      </c>
      <c r="C324" s="22">
        <f ca="1">mercancia!B66</f>
        <v>46100</v>
      </c>
      <c r="D324" s="68" t="str">
        <f>"236540"</f>
        <v>236540</v>
      </c>
      <c r="E324" s="21" t="str">
        <f>"Retención en la fuente - Compras"</f>
        <v>Retención en la fuente - Compras</v>
      </c>
      <c r="F324" s="21" t="str">
        <f ca="1">mercancia!C66</f>
        <v>Ferretería Antioqueña Ltda.</v>
      </c>
      <c r="G324" s="23" t="str" cm="1">
        <f t="array" aca="1" ref="G324" ca="1">INDIRECT("mercancia!D"&amp;(INT((ROW()-2)/5)+2))</f>
        <v>900.234.567-2</v>
      </c>
      <c r="H324" s="21" t="str">
        <f>CHOOSE(MOD(64,3)+1,"CC-100 Bodega Central","CC-101 Sucursal Centro","CC-102 Sucursal Itagüí")</f>
        <v>CC-101 Sucursal Centro</v>
      </c>
      <c r="I324" s="21" t="str">
        <f ca="1">"ReteFuente "&amp;TEXT(mercancia!K66,"0.0%")&amp;" sobre compra "&amp;mercancia!A66</f>
        <v>ReteFuente 04% sobre compra FE-1065</v>
      </c>
      <c r="J324" s="24">
        <f>0</f>
        <v>0</v>
      </c>
      <c r="K324" s="24">
        <f ca="1">mercancia!L66</f>
        <v>13335</v>
      </c>
      <c r="L324" s="25" t="str">
        <f>mercancia!A66</f>
        <v>FE-1065</v>
      </c>
    </row>
    <row r="325" spans="1:12" x14ac:dyDescent="0.35">
      <c r="A325" s="20" t="str">
        <f>"CC-MC-"&amp;TEXT(1064,"0000")</f>
        <v>CC-MC-1064</v>
      </c>
      <c r="B325" s="21" t="str">
        <f>"Causación Compra"</f>
        <v>Causación Compra</v>
      </c>
      <c r="C325" s="22">
        <f ca="1">mercancia!B66</f>
        <v>46100</v>
      </c>
      <c r="D325" s="68" t="str">
        <f>"236805"</f>
        <v>236805</v>
      </c>
      <c r="E325" s="21" t="str">
        <f>"Retención ICA - Medellín 11.04‰"</f>
        <v>Retención ICA - Medellín 11.04‰</v>
      </c>
      <c r="F325" s="21" t="str">
        <f ca="1">mercancia!C66</f>
        <v>Ferretería Antioqueña Ltda.</v>
      </c>
      <c r="G325" s="23" t="str" cm="1">
        <f t="array" aca="1" ref="G325" ca="1">INDIRECT("mercancia!D"&amp;(INT((ROW()-2)/5)+2))</f>
        <v>900.234.567-2</v>
      </c>
      <c r="H325" s="21" t="str">
        <f>CHOOSE(MOD(64,3)+1,"CC-100 Bodega Central","CC-101 Sucursal Centro","CC-102 Sucursal Itagüí")</f>
        <v>CC-101 Sucursal Centro</v>
      </c>
      <c r="I325" s="21" t="str">
        <f>"ReteICA Medellín sobre compra "&amp;mercancia!A66</f>
        <v>ReteICA Medellín sobre compra FE-1065</v>
      </c>
      <c r="J325" s="24">
        <f>0</f>
        <v>0</v>
      </c>
      <c r="K325" s="24">
        <f ca="1">mercancia!N66</f>
        <v>4206</v>
      </c>
      <c r="L325" s="25" t="str">
        <f>mercancia!A66</f>
        <v>FE-1065</v>
      </c>
    </row>
    <row r="326" spans="1:12" x14ac:dyDescent="0.35">
      <c r="A326" s="20" t="str">
        <f>"CC-MC-"&amp;TEXT(1064,"0000")</f>
        <v>CC-MC-1064</v>
      </c>
      <c r="B326" s="21" t="str">
        <f>"Causación Compra"</f>
        <v>Causación Compra</v>
      </c>
      <c r="C326" s="22">
        <f ca="1">mercancia!B66</f>
        <v>46100</v>
      </c>
      <c r="D326" s="68" t="str">
        <f>"220505"</f>
        <v>220505</v>
      </c>
      <c r="E326" s="21" t="str">
        <f>"Proveedores nacionales"</f>
        <v>Proveedores nacionales</v>
      </c>
      <c r="F326" s="21" t="str">
        <f ca="1">mercancia!C66</f>
        <v>Ferretería Antioqueña Ltda.</v>
      </c>
      <c r="G326" s="23" t="str" cm="1">
        <f t="array" aca="1" ref="G326" ca="1">INDIRECT("mercancia!D"&amp;(INT((ROW()-2)/5)+2))</f>
        <v>900.234.567-2</v>
      </c>
      <c r="H326" s="21" t="str">
        <f>CHOOSE(MOD(64,3)+1,"CC-100 Bodega Central","CC-101 Sucursal Centro","CC-102 Sucursal Itagüí")</f>
        <v>CC-101 Sucursal Centro</v>
      </c>
      <c r="I326" s="21" t="str">
        <f>"Cuenta por pagar proveedor - "&amp;mercancia!A66</f>
        <v>Cuenta por pagar proveedor - FE-1065</v>
      </c>
      <c r="J326" s="24">
        <f>0</f>
        <v>0</v>
      </c>
      <c r="K326" s="24">
        <f ca="1">mercancia!O66</f>
        <v>435849</v>
      </c>
      <c r="L326" s="25" t="str">
        <f>mercancia!A66</f>
        <v>FE-1065</v>
      </c>
    </row>
    <row r="327" spans="1:12" x14ac:dyDescent="0.35">
      <c r="A327" s="26" t="str">
        <f>"CC-MC-"&amp;TEXT(1065,"0000")</f>
        <v>CC-MC-1065</v>
      </c>
      <c r="B327" s="27" t="str">
        <f>"Causación Compra"</f>
        <v>Causación Compra</v>
      </c>
      <c r="C327" s="28">
        <f ca="1">mercancia!B67</f>
        <v>46068</v>
      </c>
      <c r="D327" s="69" t="str">
        <f>"143505"</f>
        <v>143505</v>
      </c>
      <c r="E327" s="27" t="str">
        <f>"Mercancías no fabricadas por la empresa"</f>
        <v>Mercancías no fabricadas por la empresa</v>
      </c>
      <c r="F327" s="27" t="str">
        <f ca="1">mercancia!C67</f>
        <v>Ferretería Antioqueña Ltda.</v>
      </c>
      <c r="G327" s="29" t="str" cm="1">
        <f t="array" aca="1" ref="G327" ca="1">INDIRECT("mercancia!D"&amp;(INT((ROW()-2)/5)+2))</f>
        <v>900.234.567-2</v>
      </c>
      <c r="H327" s="27" t="str">
        <f>CHOOSE(MOD(65,3)+1,"CC-100 Bodega Central","CC-101 Sucursal Centro","CC-102 Sucursal Itagüí")</f>
        <v>CC-102 Sucursal Itagüí</v>
      </c>
      <c r="I327" s="27" t="str">
        <f ca="1">"Compra mercancía - "&amp;mercancia!E67&amp;" - "&amp;mercancia!A67</f>
        <v>Compra mercancía - Lámina de drywall 1.22x2.44m - FE-1066</v>
      </c>
      <c r="J327" s="30">
        <f ca="1">mercancia!H67</f>
        <v>7017600</v>
      </c>
      <c r="K327" s="30">
        <f>0</f>
        <v>0</v>
      </c>
      <c r="L327" s="31" t="str">
        <f>mercancia!A67</f>
        <v>FE-1066</v>
      </c>
    </row>
    <row r="328" spans="1:12" x14ac:dyDescent="0.35">
      <c r="A328" s="26" t="str">
        <f>"CC-MC-"&amp;TEXT(1065,"0000")</f>
        <v>CC-MC-1065</v>
      </c>
      <c r="B328" s="27" t="str">
        <f>"Causación Compra"</f>
        <v>Causación Compra</v>
      </c>
      <c r="C328" s="28">
        <f ca="1">mercancia!B67</f>
        <v>46068</v>
      </c>
      <c r="D328" s="69" t="str">
        <f>"240805"</f>
        <v>240805</v>
      </c>
      <c r="E328" s="27" t="str">
        <f>"IVA descontable - 19%"</f>
        <v>IVA descontable - 19%</v>
      </c>
      <c r="F328" s="27" t="str">
        <f ca="1">mercancia!C67</f>
        <v>Ferretería Antioqueña Ltda.</v>
      </c>
      <c r="G328" s="29" t="str" cm="1">
        <f t="array" aca="1" ref="G328" ca="1">INDIRECT("mercancia!D"&amp;(INT((ROW()-2)/5)+2))</f>
        <v>900.234.567-2</v>
      </c>
      <c r="H328" s="27" t="str">
        <f>CHOOSE(MOD(65,3)+1,"CC-100 Bodega Central","CC-101 Sucursal Centro","CC-102 Sucursal Itagüí")</f>
        <v>CC-102 Sucursal Itagüí</v>
      </c>
      <c r="I328" s="27" t="str">
        <f>"IVA descontable factura "&amp;mercancia!A67</f>
        <v>IVA descontable factura FE-1066</v>
      </c>
      <c r="J328" s="30">
        <f ca="1">mercancia!I67</f>
        <v>1333344</v>
      </c>
      <c r="K328" s="30">
        <f>0</f>
        <v>0</v>
      </c>
      <c r="L328" s="31" t="str">
        <f>mercancia!A67</f>
        <v>FE-1066</v>
      </c>
    </row>
    <row r="329" spans="1:12" x14ac:dyDescent="0.35">
      <c r="A329" s="26" t="str">
        <f>"CC-MC-"&amp;TEXT(1065,"0000")</f>
        <v>CC-MC-1065</v>
      </c>
      <c r="B329" s="27" t="str">
        <f>"Causación Compra"</f>
        <v>Causación Compra</v>
      </c>
      <c r="C329" s="28">
        <f ca="1">mercancia!B67</f>
        <v>46068</v>
      </c>
      <c r="D329" s="69" t="str">
        <f>"236540"</f>
        <v>236540</v>
      </c>
      <c r="E329" s="27" t="str">
        <f>"Retención en la fuente - Compras"</f>
        <v>Retención en la fuente - Compras</v>
      </c>
      <c r="F329" s="27" t="str">
        <f ca="1">mercancia!C67</f>
        <v>Ferretería Antioqueña Ltda.</v>
      </c>
      <c r="G329" s="29" t="str" cm="1">
        <f t="array" aca="1" ref="G329" ca="1">INDIRECT("mercancia!D"&amp;(INT((ROW()-2)/5)+2))</f>
        <v>900.234.567-2</v>
      </c>
      <c r="H329" s="27" t="str">
        <f>CHOOSE(MOD(65,3)+1,"CC-100 Bodega Central","CC-101 Sucursal Centro","CC-102 Sucursal Itagüí")</f>
        <v>CC-102 Sucursal Itagüí</v>
      </c>
      <c r="I329" s="27" t="str">
        <f ca="1">"ReteFuente "&amp;TEXT(mercancia!K67,"0.0%")&amp;" sobre compra "&amp;mercancia!A67</f>
        <v>ReteFuente 03% sobre compra FE-1066</v>
      </c>
      <c r="J329" s="30">
        <f>0</f>
        <v>0</v>
      </c>
      <c r="K329" s="30">
        <f ca="1">mercancia!L67</f>
        <v>175440</v>
      </c>
      <c r="L329" s="31" t="str">
        <f>mercancia!A67</f>
        <v>FE-1066</v>
      </c>
    </row>
    <row r="330" spans="1:12" x14ac:dyDescent="0.35">
      <c r="A330" s="26" t="str">
        <f>"CC-MC-"&amp;TEXT(1065,"0000")</f>
        <v>CC-MC-1065</v>
      </c>
      <c r="B330" s="27" t="str">
        <f>"Causación Compra"</f>
        <v>Causación Compra</v>
      </c>
      <c r="C330" s="28">
        <f ca="1">mercancia!B67</f>
        <v>46068</v>
      </c>
      <c r="D330" s="69" t="str">
        <f>"236805"</f>
        <v>236805</v>
      </c>
      <c r="E330" s="27" t="str">
        <f>"Retención ICA - Medellín 11.04‰"</f>
        <v>Retención ICA - Medellín 11.04‰</v>
      </c>
      <c r="F330" s="27" t="str">
        <f ca="1">mercancia!C67</f>
        <v>Ferretería Antioqueña Ltda.</v>
      </c>
      <c r="G330" s="29" t="str" cm="1">
        <f t="array" aca="1" ref="G330" ca="1">INDIRECT("mercancia!D"&amp;(INT((ROW()-2)/5)+2))</f>
        <v>900.234.567-2</v>
      </c>
      <c r="H330" s="27" t="str">
        <f>CHOOSE(MOD(65,3)+1,"CC-100 Bodega Central","CC-101 Sucursal Centro","CC-102 Sucursal Itagüí")</f>
        <v>CC-102 Sucursal Itagüí</v>
      </c>
      <c r="I330" s="27" t="str">
        <f>"ReteICA Medellín sobre compra "&amp;mercancia!A67</f>
        <v>ReteICA Medellín sobre compra FE-1066</v>
      </c>
      <c r="J330" s="30">
        <f>0</f>
        <v>0</v>
      </c>
      <c r="K330" s="30">
        <f ca="1">mercancia!N67</f>
        <v>77474</v>
      </c>
      <c r="L330" s="31" t="str">
        <f>mercancia!A67</f>
        <v>FE-1066</v>
      </c>
    </row>
    <row r="331" spans="1:12" x14ac:dyDescent="0.35">
      <c r="A331" s="26" t="str">
        <f>"CC-MC-"&amp;TEXT(1065,"0000")</f>
        <v>CC-MC-1065</v>
      </c>
      <c r="B331" s="27" t="str">
        <f>"Causación Compra"</f>
        <v>Causación Compra</v>
      </c>
      <c r="C331" s="28">
        <f ca="1">mercancia!B67</f>
        <v>46068</v>
      </c>
      <c r="D331" s="69" t="str">
        <f>"220505"</f>
        <v>220505</v>
      </c>
      <c r="E331" s="27" t="str">
        <f>"Proveedores nacionales"</f>
        <v>Proveedores nacionales</v>
      </c>
      <c r="F331" s="27" t="str">
        <f ca="1">mercancia!C67</f>
        <v>Ferretería Antioqueña Ltda.</v>
      </c>
      <c r="G331" s="29" t="str" cm="1">
        <f t="array" aca="1" ref="G331" ca="1">INDIRECT("mercancia!D"&amp;(INT((ROW()-2)/5)+2))</f>
        <v>900.234.567-2</v>
      </c>
      <c r="H331" s="27" t="str">
        <f>CHOOSE(MOD(65,3)+1,"CC-100 Bodega Central","CC-101 Sucursal Centro","CC-102 Sucursal Itagüí")</f>
        <v>CC-102 Sucursal Itagüí</v>
      </c>
      <c r="I331" s="27" t="str">
        <f>"Cuenta por pagar proveedor - "&amp;mercancia!A67</f>
        <v>Cuenta por pagar proveedor - FE-1066</v>
      </c>
      <c r="J331" s="30">
        <f>0</f>
        <v>0</v>
      </c>
      <c r="K331" s="30">
        <f ca="1">mercancia!O67</f>
        <v>8098030</v>
      </c>
      <c r="L331" s="31" t="str">
        <f>mercancia!A67</f>
        <v>FE-1066</v>
      </c>
    </row>
    <row r="332" spans="1:12" x14ac:dyDescent="0.35">
      <c r="A332" s="20" t="str">
        <f>"CC-MC-"&amp;TEXT(1066,"0000")</f>
        <v>CC-MC-1066</v>
      </c>
      <c r="B332" s="21" t="str">
        <f>"Causación Compra"</f>
        <v>Causación Compra</v>
      </c>
      <c r="C332" s="22">
        <f ca="1">mercancia!B68</f>
        <v>46073</v>
      </c>
      <c r="D332" s="68" t="str">
        <f>"143505"</f>
        <v>143505</v>
      </c>
      <c r="E332" s="21" t="str">
        <f>"Mercancías no fabricadas por la empresa"</f>
        <v>Mercancías no fabricadas por la empresa</v>
      </c>
      <c r="F332" s="21" t="str">
        <f ca="1">mercancia!C68</f>
        <v>Aceros de la Montaña S.A.S.</v>
      </c>
      <c r="G332" s="23" t="str" cm="1">
        <f t="array" aca="1" ref="G332" ca="1">INDIRECT("mercancia!D"&amp;(INT((ROW()-2)/5)+2))</f>
        <v>900.123.456-1</v>
      </c>
      <c r="H332" s="21" t="str">
        <f>CHOOSE(MOD(66,3)+1,"CC-100 Bodega Central","CC-101 Sucursal Centro","CC-102 Sucursal Itagüí")</f>
        <v>CC-100 Bodega Central</v>
      </c>
      <c r="I332" s="21" t="str">
        <f ca="1">"Compra mercancía - "&amp;mercancia!E68&amp;" - "&amp;mercancia!A68</f>
        <v>Compra mercancía - Llave de tubo 14" - FE-1067</v>
      </c>
      <c r="J332" s="24">
        <f ca="1">mercancia!H68</f>
        <v>181500</v>
      </c>
      <c r="K332" s="24">
        <f>0</f>
        <v>0</v>
      </c>
      <c r="L332" s="25" t="str">
        <f>mercancia!A68</f>
        <v>FE-1067</v>
      </c>
    </row>
    <row r="333" spans="1:12" x14ac:dyDescent="0.35">
      <c r="A333" s="20" t="str">
        <f>"CC-MC-"&amp;TEXT(1066,"0000")</f>
        <v>CC-MC-1066</v>
      </c>
      <c r="B333" s="21" t="str">
        <f>"Causación Compra"</f>
        <v>Causación Compra</v>
      </c>
      <c r="C333" s="22">
        <f ca="1">mercancia!B68</f>
        <v>46073</v>
      </c>
      <c r="D333" s="68" t="str">
        <f>"240805"</f>
        <v>240805</v>
      </c>
      <c r="E333" s="21" t="str">
        <f>"IVA descontable - 19%"</f>
        <v>IVA descontable - 19%</v>
      </c>
      <c r="F333" s="21" t="str">
        <f ca="1">mercancia!C68</f>
        <v>Aceros de la Montaña S.A.S.</v>
      </c>
      <c r="G333" s="23" t="str" cm="1">
        <f t="array" aca="1" ref="G333" ca="1">INDIRECT("mercancia!D"&amp;(INT((ROW()-2)/5)+2))</f>
        <v>900.123.456-1</v>
      </c>
      <c r="H333" s="21" t="str">
        <f>CHOOSE(MOD(66,3)+1,"CC-100 Bodega Central","CC-101 Sucursal Centro","CC-102 Sucursal Itagüí")</f>
        <v>CC-100 Bodega Central</v>
      </c>
      <c r="I333" s="21" t="str">
        <f>"IVA descontable factura "&amp;mercancia!A68</f>
        <v>IVA descontable factura FE-1067</v>
      </c>
      <c r="J333" s="24">
        <f ca="1">mercancia!I68</f>
        <v>34485</v>
      </c>
      <c r="K333" s="24">
        <f>0</f>
        <v>0</v>
      </c>
      <c r="L333" s="25" t="str">
        <f>mercancia!A68</f>
        <v>FE-1067</v>
      </c>
    </row>
    <row r="334" spans="1:12" x14ac:dyDescent="0.35">
      <c r="A334" s="20" t="str">
        <f>"CC-MC-"&amp;TEXT(1066,"0000")</f>
        <v>CC-MC-1066</v>
      </c>
      <c r="B334" s="21" t="str">
        <f>"Causación Compra"</f>
        <v>Causación Compra</v>
      </c>
      <c r="C334" s="22">
        <f ca="1">mercancia!B68</f>
        <v>46073</v>
      </c>
      <c r="D334" s="68" t="str">
        <f>"236540"</f>
        <v>236540</v>
      </c>
      <c r="E334" s="21" t="str">
        <f>"Retención en la fuente - Compras"</f>
        <v>Retención en la fuente - Compras</v>
      </c>
      <c r="F334" s="21" t="str">
        <f ca="1">mercancia!C68</f>
        <v>Aceros de la Montaña S.A.S.</v>
      </c>
      <c r="G334" s="23" t="str" cm="1">
        <f t="array" aca="1" ref="G334" ca="1">INDIRECT("mercancia!D"&amp;(INT((ROW()-2)/5)+2))</f>
        <v>900.123.456-1</v>
      </c>
      <c r="H334" s="21" t="str">
        <f>CHOOSE(MOD(66,3)+1,"CC-100 Bodega Central","CC-101 Sucursal Centro","CC-102 Sucursal Itagüí")</f>
        <v>CC-100 Bodega Central</v>
      </c>
      <c r="I334" s="21" t="str">
        <f ca="1">"ReteFuente "&amp;TEXT(mercancia!K68,"0.0%")&amp;" sobre compra "&amp;mercancia!A68</f>
        <v>ReteFuente 04% sobre compra FE-1067</v>
      </c>
      <c r="J334" s="24">
        <f>0</f>
        <v>0</v>
      </c>
      <c r="K334" s="24">
        <f ca="1">mercancia!L68</f>
        <v>6353</v>
      </c>
      <c r="L334" s="25" t="str">
        <f>mercancia!A68</f>
        <v>FE-1067</v>
      </c>
    </row>
    <row r="335" spans="1:12" x14ac:dyDescent="0.35">
      <c r="A335" s="20" t="str">
        <f>"CC-MC-"&amp;TEXT(1066,"0000")</f>
        <v>CC-MC-1066</v>
      </c>
      <c r="B335" s="21" t="str">
        <f>"Causación Compra"</f>
        <v>Causación Compra</v>
      </c>
      <c r="C335" s="22">
        <f ca="1">mercancia!B68</f>
        <v>46073</v>
      </c>
      <c r="D335" s="68" t="str">
        <f>"236805"</f>
        <v>236805</v>
      </c>
      <c r="E335" s="21" t="str">
        <f>"Retención ICA - Medellín 11.04‰"</f>
        <v>Retención ICA - Medellín 11.04‰</v>
      </c>
      <c r="F335" s="21" t="str">
        <f ca="1">mercancia!C68</f>
        <v>Aceros de la Montaña S.A.S.</v>
      </c>
      <c r="G335" s="23" t="str" cm="1">
        <f t="array" aca="1" ref="G335" ca="1">INDIRECT("mercancia!D"&amp;(INT((ROW()-2)/5)+2))</f>
        <v>900.123.456-1</v>
      </c>
      <c r="H335" s="21" t="str">
        <f>CHOOSE(MOD(66,3)+1,"CC-100 Bodega Central","CC-101 Sucursal Centro","CC-102 Sucursal Itagüí")</f>
        <v>CC-100 Bodega Central</v>
      </c>
      <c r="I335" s="21" t="str">
        <f>"ReteICA Medellín sobre compra "&amp;mercancia!A68</f>
        <v>ReteICA Medellín sobre compra FE-1067</v>
      </c>
      <c r="J335" s="24">
        <f>0</f>
        <v>0</v>
      </c>
      <c r="K335" s="24">
        <f ca="1">mercancia!N68</f>
        <v>2004</v>
      </c>
      <c r="L335" s="25" t="str">
        <f>mercancia!A68</f>
        <v>FE-1067</v>
      </c>
    </row>
    <row r="336" spans="1:12" x14ac:dyDescent="0.35">
      <c r="A336" s="20" t="str">
        <f>"CC-MC-"&amp;TEXT(1066,"0000")</f>
        <v>CC-MC-1066</v>
      </c>
      <c r="B336" s="21" t="str">
        <f>"Causación Compra"</f>
        <v>Causación Compra</v>
      </c>
      <c r="C336" s="22">
        <f ca="1">mercancia!B68</f>
        <v>46073</v>
      </c>
      <c r="D336" s="68" t="str">
        <f>"220505"</f>
        <v>220505</v>
      </c>
      <c r="E336" s="21" t="str">
        <f>"Proveedores nacionales"</f>
        <v>Proveedores nacionales</v>
      </c>
      <c r="F336" s="21" t="str">
        <f ca="1">mercancia!C68</f>
        <v>Aceros de la Montaña S.A.S.</v>
      </c>
      <c r="G336" s="23" t="str" cm="1">
        <f t="array" aca="1" ref="G336" ca="1">INDIRECT("mercancia!D"&amp;(INT((ROW()-2)/5)+2))</f>
        <v>900.123.456-1</v>
      </c>
      <c r="H336" s="21" t="str">
        <f>CHOOSE(MOD(66,3)+1,"CC-100 Bodega Central","CC-101 Sucursal Centro","CC-102 Sucursal Itagüí")</f>
        <v>CC-100 Bodega Central</v>
      </c>
      <c r="I336" s="21" t="str">
        <f>"Cuenta por pagar proveedor - "&amp;mercancia!A68</f>
        <v>Cuenta por pagar proveedor - FE-1067</v>
      </c>
      <c r="J336" s="24">
        <f>0</f>
        <v>0</v>
      </c>
      <c r="K336" s="24">
        <f ca="1">mercancia!O68</f>
        <v>207628</v>
      </c>
      <c r="L336" s="25" t="str">
        <f>mercancia!A68</f>
        <v>FE-1067</v>
      </c>
    </row>
    <row r="337" spans="1:12" x14ac:dyDescent="0.35">
      <c r="A337" s="26" t="str">
        <f>"CC-MC-"&amp;TEXT(1067,"0000")</f>
        <v>CC-MC-1067</v>
      </c>
      <c r="B337" s="27" t="str">
        <f>"Causación Compra"</f>
        <v>Causación Compra</v>
      </c>
      <c r="C337" s="28">
        <f ca="1">mercancia!B69</f>
        <v>46116</v>
      </c>
      <c r="D337" s="69" t="str">
        <f>"143505"</f>
        <v>143505</v>
      </c>
      <c r="E337" s="27" t="str">
        <f>"Mercancías no fabricadas por la empresa"</f>
        <v>Mercancías no fabricadas por la empresa</v>
      </c>
      <c r="F337" s="27" t="str">
        <f ca="1">mercancia!C69</f>
        <v>Herramientas Industriales Medellín S.A.S.</v>
      </c>
      <c r="G337" s="29" t="str" cm="1">
        <f t="array" aca="1" ref="G337" ca="1">INDIRECT("mercancia!D"&amp;(INT((ROW()-2)/5)+2))</f>
        <v>900.567.890-5</v>
      </c>
      <c r="H337" s="27" t="str">
        <f>CHOOSE(MOD(67,3)+1,"CC-100 Bodega Central","CC-101 Sucursal Centro","CC-102 Sucursal Itagüí")</f>
        <v>CC-101 Sucursal Centro</v>
      </c>
      <c r="I337" s="27" t="str">
        <f ca="1">"Compra mercancía - "&amp;mercancia!E69&amp;" - "&amp;mercancia!A69</f>
        <v>Compra mercancía - Guantes de carnaza par - FE-1068</v>
      </c>
      <c r="J337" s="30">
        <f ca="1">mercancia!H69</f>
        <v>5145000</v>
      </c>
      <c r="K337" s="30">
        <f>0</f>
        <v>0</v>
      </c>
      <c r="L337" s="31" t="str">
        <f>mercancia!A69</f>
        <v>FE-1068</v>
      </c>
    </row>
    <row r="338" spans="1:12" x14ac:dyDescent="0.35">
      <c r="A338" s="26" t="str">
        <f>"CC-MC-"&amp;TEXT(1067,"0000")</f>
        <v>CC-MC-1067</v>
      </c>
      <c r="B338" s="27" t="str">
        <f>"Causación Compra"</f>
        <v>Causación Compra</v>
      </c>
      <c r="C338" s="28">
        <f ca="1">mercancia!B69</f>
        <v>46116</v>
      </c>
      <c r="D338" s="69" t="str">
        <f>"240805"</f>
        <v>240805</v>
      </c>
      <c r="E338" s="27" t="str">
        <f>"IVA descontable - 19%"</f>
        <v>IVA descontable - 19%</v>
      </c>
      <c r="F338" s="27" t="str">
        <f ca="1">mercancia!C69</f>
        <v>Herramientas Industriales Medellín S.A.S.</v>
      </c>
      <c r="G338" s="29" t="str" cm="1">
        <f t="array" aca="1" ref="G338" ca="1">INDIRECT("mercancia!D"&amp;(INT((ROW()-2)/5)+2))</f>
        <v>900.567.890-5</v>
      </c>
      <c r="H338" s="27" t="str">
        <f>CHOOSE(MOD(67,3)+1,"CC-100 Bodega Central","CC-101 Sucursal Centro","CC-102 Sucursal Itagüí")</f>
        <v>CC-101 Sucursal Centro</v>
      </c>
      <c r="I338" s="27" t="str">
        <f>"IVA descontable factura "&amp;mercancia!A69</f>
        <v>IVA descontable factura FE-1068</v>
      </c>
      <c r="J338" s="30">
        <f ca="1">mercancia!I69</f>
        <v>977550</v>
      </c>
      <c r="K338" s="30">
        <f>0</f>
        <v>0</v>
      </c>
      <c r="L338" s="31" t="str">
        <f>mercancia!A69</f>
        <v>FE-1068</v>
      </c>
    </row>
    <row r="339" spans="1:12" x14ac:dyDescent="0.35">
      <c r="A339" s="26" t="str">
        <f>"CC-MC-"&amp;TEXT(1067,"0000")</f>
        <v>CC-MC-1067</v>
      </c>
      <c r="B339" s="27" t="str">
        <f>"Causación Compra"</f>
        <v>Causación Compra</v>
      </c>
      <c r="C339" s="28">
        <f ca="1">mercancia!B69</f>
        <v>46116</v>
      </c>
      <c r="D339" s="69" t="str">
        <f>"236540"</f>
        <v>236540</v>
      </c>
      <c r="E339" s="27" t="str">
        <f>"Retención en la fuente - Compras"</f>
        <v>Retención en la fuente - Compras</v>
      </c>
      <c r="F339" s="27" t="str">
        <f ca="1">mercancia!C69</f>
        <v>Herramientas Industriales Medellín S.A.S.</v>
      </c>
      <c r="G339" s="29" t="str" cm="1">
        <f t="array" aca="1" ref="G339" ca="1">INDIRECT("mercancia!D"&amp;(INT((ROW()-2)/5)+2))</f>
        <v>900.567.890-5</v>
      </c>
      <c r="H339" s="27" t="str">
        <f>CHOOSE(MOD(67,3)+1,"CC-100 Bodega Central","CC-101 Sucursal Centro","CC-102 Sucursal Itagüí")</f>
        <v>CC-101 Sucursal Centro</v>
      </c>
      <c r="I339" s="27" t="str">
        <f ca="1">"ReteFuente "&amp;TEXT(mercancia!K69,"0.0%")&amp;" sobre compra "&amp;mercancia!A69</f>
        <v>ReteFuente 03% sobre compra FE-1068</v>
      </c>
      <c r="J339" s="30">
        <f>0</f>
        <v>0</v>
      </c>
      <c r="K339" s="30">
        <f ca="1">mercancia!L69</f>
        <v>128625</v>
      </c>
      <c r="L339" s="31" t="str">
        <f>mercancia!A69</f>
        <v>FE-1068</v>
      </c>
    </row>
    <row r="340" spans="1:12" x14ac:dyDescent="0.35">
      <c r="A340" s="26" t="str">
        <f>"CC-MC-"&amp;TEXT(1067,"0000")</f>
        <v>CC-MC-1067</v>
      </c>
      <c r="B340" s="27" t="str">
        <f>"Causación Compra"</f>
        <v>Causación Compra</v>
      </c>
      <c r="C340" s="28">
        <f ca="1">mercancia!B69</f>
        <v>46116</v>
      </c>
      <c r="D340" s="69" t="str">
        <f>"236805"</f>
        <v>236805</v>
      </c>
      <c r="E340" s="27" t="str">
        <f>"Retención ICA - Medellín 11.04‰"</f>
        <v>Retención ICA - Medellín 11.04‰</v>
      </c>
      <c r="F340" s="27" t="str">
        <f ca="1">mercancia!C69</f>
        <v>Herramientas Industriales Medellín S.A.S.</v>
      </c>
      <c r="G340" s="29" t="str" cm="1">
        <f t="array" aca="1" ref="G340" ca="1">INDIRECT("mercancia!D"&amp;(INT((ROW()-2)/5)+2))</f>
        <v>900.567.890-5</v>
      </c>
      <c r="H340" s="27" t="str">
        <f>CHOOSE(MOD(67,3)+1,"CC-100 Bodega Central","CC-101 Sucursal Centro","CC-102 Sucursal Itagüí")</f>
        <v>CC-101 Sucursal Centro</v>
      </c>
      <c r="I340" s="27" t="str">
        <f>"ReteICA Medellín sobre compra "&amp;mercancia!A69</f>
        <v>ReteICA Medellín sobre compra FE-1068</v>
      </c>
      <c r="J340" s="30">
        <f>0</f>
        <v>0</v>
      </c>
      <c r="K340" s="30">
        <f ca="1">mercancia!N69</f>
        <v>56801</v>
      </c>
      <c r="L340" s="31" t="str">
        <f>mercancia!A69</f>
        <v>FE-1068</v>
      </c>
    </row>
    <row r="341" spans="1:12" x14ac:dyDescent="0.35">
      <c r="A341" s="26" t="str">
        <f>"CC-MC-"&amp;TEXT(1067,"0000")</f>
        <v>CC-MC-1067</v>
      </c>
      <c r="B341" s="27" t="str">
        <f>"Causación Compra"</f>
        <v>Causación Compra</v>
      </c>
      <c r="C341" s="28">
        <f ca="1">mercancia!B69</f>
        <v>46116</v>
      </c>
      <c r="D341" s="69" t="str">
        <f>"220505"</f>
        <v>220505</v>
      </c>
      <c r="E341" s="27" t="str">
        <f>"Proveedores nacionales"</f>
        <v>Proveedores nacionales</v>
      </c>
      <c r="F341" s="27" t="str">
        <f ca="1">mercancia!C69</f>
        <v>Herramientas Industriales Medellín S.A.S.</v>
      </c>
      <c r="G341" s="29" t="str" cm="1">
        <f t="array" aca="1" ref="G341" ca="1">INDIRECT("mercancia!D"&amp;(INT((ROW()-2)/5)+2))</f>
        <v>900.567.890-5</v>
      </c>
      <c r="H341" s="27" t="str">
        <f>CHOOSE(MOD(67,3)+1,"CC-100 Bodega Central","CC-101 Sucursal Centro","CC-102 Sucursal Itagüí")</f>
        <v>CC-101 Sucursal Centro</v>
      </c>
      <c r="I341" s="27" t="str">
        <f>"Cuenta por pagar proveedor - "&amp;mercancia!A69</f>
        <v>Cuenta por pagar proveedor - FE-1068</v>
      </c>
      <c r="J341" s="30">
        <f>0</f>
        <v>0</v>
      </c>
      <c r="K341" s="30">
        <f ca="1">mercancia!O69</f>
        <v>5937124</v>
      </c>
      <c r="L341" s="31" t="str">
        <f>mercancia!A69</f>
        <v>FE-1068</v>
      </c>
    </row>
    <row r="342" spans="1:12" x14ac:dyDescent="0.35">
      <c r="A342" s="20" t="str">
        <f>"CC-MC-"&amp;TEXT(1068,"0000")</f>
        <v>CC-MC-1068</v>
      </c>
      <c r="B342" s="21" t="str">
        <f>"Causación Compra"</f>
        <v>Causación Compra</v>
      </c>
      <c r="C342" s="22">
        <f ca="1">mercancia!B70</f>
        <v>46095</v>
      </c>
      <c r="D342" s="68" t="str">
        <f>"143505"</f>
        <v>143505</v>
      </c>
      <c r="E342" s="21" t="str">
        <f>"Mercancías no fabricadas por la empresa"</f>
        <v>Mercancías no fabricadas por la empresa</v>
      </c>
      <c r="F342" s="21" t="str">
        <f ca="1">mercancia!C70</f>
        <v>Tubos y Conexiones Envigado Ltda.</v>
      </c>
      <c r="G342" s="23" t="str" cm="1">
        <f t="array" aca="1" ref="G342" ca="1">INDIRECT("mercancia!D"&amp;(INT((ROW()-2)/5)+2))</f>
        <v>901.012.345-0</v>
      </c>
      <c r="H342" s="21" t="str">
        <f>CHOOSE(MOD(68,3)+1,"CC-100 Bodega Central","CC-101 Sucursal Centro","CC-102 Sucursal Itagüí")</f>
        <v>CC-102 Sucursal Itagüí</v>
      </c>
      <c r="I342" s="21" t="str">
        <f ca="1">"Compra mercancía - "&amp;mercancia!E70&amp;" - "&amp;mercancia!A70</f>
        <v>Compra mercancía - Bloque de concreto 10x20x40 - FE-1069</v>
      </c>
      <c r="J342" s="24">
        <f ca="1">mercancia!H70</f>
        <v>7375500</v>
      </c>
      <c r="K342" s="24">
        <f>0</f>
        <v>0</v>
      </c>
      <c r="L342" s="25" t="str">
        <f>mercancia!A70</f>
        <v>FE-1069</v>
      </c>
    </row>
    <row r="343" spans="1:12" x14ac:dyDescent="0.35">
      <c r="A343" s="20" t="str">
        <f>"CC-MC-"&amp;TEXT(1068,"0000")</f>
        <v>CC-MC-1068</v>
      </c>
      <c r="B343" s="21" t="str">
        <f>"Causación Compra"</f>
        <v>Causación Compra</v>
      </c>
      <c r="C343" s="22">
        <f ca="1">mercancia!B70</f>
        <v>46095</v>
      </c>
      <c r="D343" s="68" t="str">
        <f>"240805"</f>
        <v>240805</v>
      </c>
      <c r="E343" s="21" t="str">
        <f>"IVA descontable - 19%"</f>
        <v>IVA descontable - 19%</v>
      </c>
      <c r="F343" s="21" t="str">
        <f ca="1">mercancia!C70</f>
        <v>Tubos y Conexiones Envigado Ltda.</v>
      </c>
      <c r="G343" s="23" t="str" cm="1">
        <f t="array" aca="1" ref="G343" ca="1">INDIRECT("mercancia!D"&amp;(INT((ROW()-2)/5)+2))</f>
        <v>901.012.345-0</v>
      </c>
      <c r="H343" s="21" t="str">
        <f>CHOOSE(MOD(68,3)+1,"CC-100 Bodega Central","CC-101 Sucursal Centro","CC-102 Sucursal Itagüí")</f>
        <v>CC-102 Sucursal Itagüí</v>
      </c>
      <c r="I343" s="21" t="str">
        <f>"IVA descontable factura "&amp;mercancia!A70</f>
        <v>IVA descontable factura FE-1069</v>
      </c>
      <c r="J343" s="24">
        <f ca="1">mercancia!I70</f>
        <v>1401345</v>
      </c>
      <c r="K343" s="24">
        <f>0</f>
        <v>0</v>
      </c>
      <c r="L343" s="25" t="str">
        <f>mercancia!A70</f>
        <v>FE-1069</v>
      </c>
    </row>
    <row r="344" spans="1:12" x14ac:dyDescent="0.35">
      <c r="A344" s="20" t="str">
        <f>"CC-MC-"&amp;TEXT(1068,"0000")</f>
        <v>CC-MC-1068</v>
      </c>
      <c r="B344" s="21" t="str">
        <f>"Causación Compra"</f>
        <v>Causación Compra</v>
      </c>
      <c r="C344" s="22">
        <f ca="1">mercancia!B70</f>
        <v>46095</v>
      </c>
      <c r="D344" s="68" t="str">
        <f>"236540"</f>
        <v>236540</v>
      </c>
      <c r="E344" s="21" t="str">
        <f>"Retención en la fuente - Compras"</f>
        <v>Retención en la fuente - Compras</v>
      </c>
      <c r="F344" s="21" t="str">
        <f ca="1">mercancia!C70</f>
        <v>Tubos y Conexiones Envigado Ltda.</v>
      </c>
      <c r="G344" s="23" t="str" cm="1">
        <f t="array" aca="1" ref="G344" ca="1">INDIRECT("mercancia!D"&amp;(INT((ROW()-2)/5)+2))</f>
        <v>901.012.345-0</v>
      </c>
      <c r="H344" s="21" t="str">
        <f>CHOOSE(MOD(68,3)+1,"CC-100 Bodega Central","CC-101 Sucursal Centro","CC-102 Sucursal Itagüí")</f>
        <v>CC-102 Sucursal Itagüí</v>
      </c>
      <c r="I344" s="21" t="str">
        <f ca="1">"ReteFuente "&amp;TEXT(mercancia!K70,"0.0%")&amp;" sobre compra "&amp;mercancia!A70</f>
        <v>ReteFuente 04% sobre compra FE-1069</v>
      </c>
      <c r="J344" s="24">
        <f>0</f>
        <v>0</v>
      </c>
      <c r="K344" s="24">
        <f ca="1">mercancia!L70</f>
        <v>258143</v>
      </c>
      <c r="L344" s="25" t="str">
        <f>mercancia!A70</f>
        <v>FE-1069</v>
      </c>
    </row>
    <row r="345" spans="1:12" x14ac:dyDescent="0.35">
      <c r="A345" s="20" t="str">
        <f>"CC-MC-"&amp;TEXT(1068,"0000")</f>
        <v>CC-MC-1068</v>
      </c>
      <c r="B345" s="21" t="str">
        <f>"Causación Compra"</f>
        <v>Causación Compra</v>
      </c>
      <c r="C345" s="22">
        <f ca="1">mercancia!B70</f>
        <v>46095</v>
      </c>
      <c r="D345" s="68" t="str">
        <f>"236805"</f>
        <v>236805</v>
      </c>
      <c r="E345" s="21" t="str">
        <f>"Retención ICA - Medellín 11.04‰"</f>
        <v>Retención ICA - Medellín 11.04‰</v>
      </c>
      <c r="F345" s="21" t="str">
        <f ca="1">mercancia!C70</f>
        <v>Tubos y Conexiones Envigado Ltda.</v>
      </c>
      <c r="G345" s="23" t="str" cm="1">
        <f t="array" aca="1" ref="G345" ca="1">INDIRECT("mercancia!D"&amp;(INT((ROW()-2)/5)+2))</f>
        <v>901.012.345-0</v>
      </c>
      <c r="H345" s="21" t="str">
        <f>CHOOSE(MOD(68,3)+1,"CC-100 Bodega Central","CC-101 Sucursal Centro","CC-102 Sucursal Itagüí")</f>
        <v>CC-102 Sucursal Itagüí</v>
      </c>
      <c r="I345" s="21" t="str">
        <f>"ReteICA Medellín sobre compra "&amp;mercancia!A70</f>
        <v>ReteICA Medellín sobre compra FE-1069</v>
      </c>
      <c r="J345" s="24">
        <f>0</f>
        <v>0</v>
      </c>
      <c r="K345" s="24">
        <f ca="1">mercancia!N70</f>
        <v>81426</v>
      </c>
      <c r="L345" s="25" t="str">
        <f>mercancia!A70</f>
        <v>FE-1069</v>
      </c>
    </row>
    <row r="346" spans="1:12" x14ac:dyDescent="0.35">
      <c r="A346" s="20" t="str">
        <f>"CC-MC-"&amp;TEXT(1068,"0000")</f>
        <v>CC-MC-1068</v>
      </c>
      <c r="B346" s="21" t="str">
        <f>"Causación Compra"</f>
        <v>Causación Compra</v>
      </c>
      <c r="C346" s="22">
        <f ca="1">mercancia!B70</f>
        <v>46095</v>
      </c>
      <c r="D346" s="68" t="str">
        <f>"220505"</f>
        <v>220505</v>
      </c>
      <c r="E346" s="21" t="str">
        <f>"Proveedores nacionales"</f>
        <v>Proveedores nacionales</v>
      </c>
      <c r="F346" s="21" t="str">
        <f ca="1">mercancia!C70</f>
        <v>Tubos y Conexiones Envigado Ltda.</v>
      </c>
      <c r="G346" s="23" t="str" cm="1">
        <f t="array" aca="1" ref="G346" ca="1">INDIRECT("mercancia!D"&amp;(INT((ROW()-2)/5)+2))</f>
        <v>901.012.345-0</v>
      </c>
      <c r="H346" s="21" t="str">
        <f>CHOOSE(MOD(68,3)+1,"CC-100 Bodega Central","CC-101 Sucursal Centro","CC-102 Sucursal Itagüí")</f>
        <v>CC-102 Sucursal Itagüí</v>
      </c>
      <c r="I346" s="21" t="str">
        <f>"Cuenta por pagar proveedor - "&amp;mercancia!A70</f>
        <v>Cuenta por pagar proveedor - FE-1069</v>
      </c>
      <c r="J346" s="24">
        <f>0</f>
        <v>0</v>
      </c>
      <c r="K346" s="24">
        <f ca="1">mercancia!O70</f>
        <v>8437276</v>
      </c>
      <c r="L346" s="25" t="str">
        <f>mercancia!A70</f>
        <v>FE-1069</v>
      </c>
    </row>
    <row r="347" spans="1:12" x14ac:dyDescent="0.35">
      <c r="A347" s="26" t="str">
        <f>"CC-MC-"&amp;TEXT(1069,"0000")</f>
        <v>CC-MC-1069</v>
      </c>
      <c r="B347" s="27" t="str">
        <f>"Causación Compra"</f>
        <v>Causación Compra</v>
      </c>
      <c r="C347" s="28">
        <f ca="1">mercancia!B71</f>
        <v>46033</v>
      </c>
      <c r="D347" s="69" t="str">
        <f>"143505"</f>
        <v>143505</v>
      </c>
      <c r="E347" s="27" t="str">
        <f>"Mercancías no fabricadas por la empresa"</f>
        <v>Mercancías no fabricadas por la empresa</v>
      </c>
      <c r="F347" s="27" t="str">
        <f ca="1">mercancia!C71</f>
        <v>Ferretería Antioqueña Ltda.</v>
      </c>
      <c r="G347" s="29" t="str" cm="1">
        <f t="array" aca="1" ref="G347" ca="1">INDIRECT("mercancia!D"&amp;(INT((ROW()-2)/5)+2))</f>
        <v>900.234.567-2</v>
      </c>
      <c r="H347" s="27" t="str">
        <f>CHOOSE(MOD(69,3)+1,"CC-100 Bodega Central","CC-101 Sucursal Centro","CC-102 Sucursal Itagüí")</f>
        <v>CC-100 Bodega Central</v>
      </c>
      <c r="I347" s="27" t="str">
        <f ca="1">"Compra mercancía - "&amp;mercancia!E71&amp;" - "&amp;mercancia!A71</f>
        <v>Compra mercancía - Acabados y Construcción Poblado S.A.S. - FE-1070</v>
      </c>
      <c r="J347" s="30">
        <f ca="1">mercancia!H71</f>
        <v>33751200</v>
      </c>
      <c r="K347" s="30">
        <f>0</f>
        <v>0</v>
      </c>
      <c r="L347" s="31" t="str">
        <f>mercancia!A71</f>
        <v>FE-1070</v>
      </c>
    </row>
    <row r="348" spans="1:12" x14ac:dyDescent="0.35">
      <c r="A348" s="26" t="str">
        <f>"CC-MC-"&amp;TEXT(1069,"0000")</f>
        <v>CC-MC-1069</v>
      </c>
      <c r="B348" s="27" t="str">
        <f>"Causación Compra"</f>
        <v>Causación Compra</v>
      </c>
      <c r="C348" s="28">
        <f ca="1">mercancia!B71</f>
        <v>46033</v>
      </c>
      <c r="D348" s="69" t="str">
        <f>"240805"</f>
        <v>240805</v>
      </c>
      <c r="E348" s="27" t="str">
        <f>"IVA descontable - 19%"</f>
        <v>IVA descontable - 19%</v>
      </c>
      <c r="F348" s="27" t="str">
        <f ca="1">mercancia!C71</f>
        <v>Ferretería Antioqueña Ltda.</v>
      </c>
      <c r="G348" s="29" t="str" cm="1">
        <f t="array" aca="1" ref="G348" ca="1">INDIRECT("mercancia!D"&amp;(INT((ROW()-2)/5)+2))</f>
        <v>900.234.567-2</v>
      </c>
      <c r="H348" s="27" t="str">
        <f>CHOOSE(MOD(69,3)+1,"CC-100 Bodega Central","CC-101 Sucursal Centro","CC-102 Sucursal Itagüí")</f>
        <v>CC-100 Bodega Central</v>
      </c>
      <c r="I348" s="27" t="str">
        <f>"IVA descontable factura "&amp;mercancia!A71</f>
        <v>IVA descontable factura FE-1070</v>
      </c>
      <c r="J348" s="30">
        <f ca="1">mercancia!I71</f>
        <v>6412728</v>
      </c>
      <c r="K348" s="30">
        <f>0</f>
        <v>0</v>
      </c>
      <c r="L348" s="31" t="str">
        <f>mercancia!A71</f>
        <v>FE-1070</v>
      </c>
    </row>
    <row r="349" spans="1:12" x14ac:dyDescent="0.35">
      <c r="A349" s="26" t="str">
        <f>"CC-MC-"&amp;TEXT(1069,"0000")</f>
        <v>CC-MC-1069</v>
      </c>
      <c r="B349" s="27" t="str">
        <f>"Causación Compra"</f>
        <v>Causación Compra</v>
      </c>
      <c r="C349" s="28">
        <f ca="1">mercancia!B71</f>
        <v>46033</v>
      </c>
      <c r="D349" s="69" t="str">
        <f>"236540"</f>
        <v>236540</v>
      </c>
      <c r="E349" s="27" t="str">
        <f>"Retención en la fuente - Compras"</f>
        <v>Retención en la fuente - Compras</v>
      </c>
      <c r="F349" s="27" t="str">
        <f ca="1">mercancia!C71</f>
        <v>Ferretería Antioqueña Ltda.</v>
      </c>
      <c r="G349" s="29" t="str" cm="1">
        <f t="array" aca="1" ref="G349" ca="1">INDIRECT("mercancia!D"&amp;(INT((ROW()-2)/5)+2))</f>
        <v>900.234.567-2</v>
      </c>
      <c r="H349" s="27" t="str">
        <f>CHOOSE(MOD(69,3)+1,"CC-100 Bodega Central","CC-101 Sucursal Centro","CC-102 Sucursal Itagüí")</f>
        <v>CC-100 Bodega Central</v>
      </c>
      <c r="I349" s="27" t="str">
        <f ca="1">"ReteFuente "&amp;TEXT(mercancia!K71,"0.0%")&amp;" sobre compra "&amp;mercancia!A71</f>
        <v>ReteFuente 03% sobre compra FE-1070</v>
      </c>
      <c r="J349" s="30">
        <f>0</f>
        <v>0</v>
      </c>
      <c r="K349" s="30">
        <f ca="1">mercancia!L71</f>
        <v>843780</v>
      </c>
      <c r="L349" s="31" t="str">
        <f>mercancia!A71</f>
        <v>FE-1070</v>
      </c>
    </row>
    <row r="350" spans="1:12" x14ac:dyDescent="0.35">
      <c r="A350" s="26" t="str">
        <f>"CC-MC-"&amp;TEXT(1069,"0000")</f>
        <v>CC-MC-1069</v>
      </c>
      <c r="B350" s="27" t="str">
        <f>"Causación Compra"</f>
        <v>Causación Compra</v>
      </c>
      <c r="C350" s="28">
        <f ca="1">mercancia!B71</f>
        <v>46033</v>
      </c>
      <c r="D350" s="69" t="str">
        <f>"236805"</f>
        <v>236805</v>
      </c>
      <c r="E350" s="27" t="str">
        <f>"Retención ICA - Medellín 11.04‰"</f>
        <v>Retención ICA - Medellín 11.04‰</v>
      </c>
      <c r="F350" s="27" t="str">
        <f ca="1">mercancia!C71</f>
        <v>Ferretería Antioqueña Ltda.</v>
      </c>
      <c r="G350" s="29" t="str" cm="1">
        <f t="array" aca="1" ref="G350" ca="1">INDIRECT("mercancia!D"&amp;(INT((ROW()-2)/5)+2))</f>
        <v>900.234.567-2</v>
      </c>
      <c r="H350" s="27" t="str">
        <f>CHOOSE(MOD(69,3)+1,"CC-100 Bodega Central","CC-101 Sucursal Centro","CC-102 Sucursal Itagüí")</f>
        <v>CC-100 Bodega Central</v>
      </c>
      <c r="I350" s="27" t="str">
        <f>"ReteICA Medellín sobre compra "&amp;mercancia!A71</f>
        <v>ReteICA Medellín sobre compra FE-1070</v>
      </c>
      <c r="J350" s="30">
        <f>0</f>
        <v>0</v>
      </c>
      <c r="K350" s="30">
        <f ca="1">mercancia!N71</f>
        <v>372613</v>
      </c>
      <c r="L350" s="31" t="str">
        <f>mercancia!A71</f>
        <v>FE-1070</v>
      </c>
    </row>
    <row r="351" spans="1:12" x14ac:dyDescent="0.35">
      <c r="A351" s="26" t="str">
        <f>"CC-MC-"&amp;TEXT(1069,"0000")</f>
        <v>CC-MC-1069</v>
      </c>
      <c r="B351" s="27" t="str">
        <f>"Causación Compra"</f>
        <v>Causación Compra</v>
      </c>
      <c r="C351" s="28">
        <f ca="1">mercancia!B71</f>
        <v>46033</v>
      </c>
      <c r="D351" s="69" t="str">
        <f>"220505"</f>
        <v>220505</v>
      </c>
      <c r="E351" s="27" t="str">
        <f>"Proveedores nacionales"</f>
        <v>Proveedores nacionales</v>
      </c>
      <c r="F351" s="27" t="str">
        <f ca="1">mercancia!C71</f>
        <v>Ferretería Antioqueña Ltda.</v>
      </c>
      <c r="G351" s="29" t="str" cm="1">
        <f t="array" aca="1" ref="G351" ca="1">INDIRECT("mercancia!D"&amp;(INT((ROW()-2)/5)+2))</f>
        <v>900.234.567-2</v>
      </c>
      <c r="H351" s="27" t="str">
        <f>CHOOSE(MOD(69,3)+1,"CC-100 Bodega Central","CC-101 Sucursal Centro","CC-102 Sucursal Itagüí")</f>
        <v>CC-100 Bodega Central</v>
      </c>
      <c r="I351" s="27" t="str">
        <f>"Cuenta por pagar proveedor - "&amp;mercancia!A71</f>
        <v>Cuenta por pagar proveedor - FE-1070</v>
      </c>
      <c r="J351" s="30">
        <f>0</f>
        <v>0</v>
      </c>
      <c r="K351" s="30">
        <f ca="1">mercancia!O71</f>
        <v>38947535</v>
      </c>
      <c r="L351" s="31" t="str">
        <f>mercancia!A71</f>
        <v>FE-1070</v>
      </c>
    </row>
    <row r="352" spans="1:12" x14ac:dyDescent="0.35">
      <c r="A352" s="20" t="str">
        <f>"CC-MC-"&amp;TEXT(1070,"0000")</f>
        <v>CC-MC-1070</v>
      </c>
      <c r="B352" s="21" t="str">
        <f>"Causación Compra"</f>
        <v>Causación Compra</v>
      </c>
      <c r="C352" s="22">
        <f ca="1">mercancia!B72</f>
        <v>46104</v>
      </c>
      <c r="D352" s="68" t="str">
        <f>"143505"</f>
        <v>143505</v>
      </c>
      <c r="E352" s="21" t="str">
        <f>"Mercancías no fabricadas por la empresa"</f>
        <v>Mercancías no fabricadas por la empresa</v>
      </c>
      <c r="F352" s="21" t="str">
        <f ca="1">mercancia!C72</f>
        <v>Suministros Ferreteros La 80 Ltda.</v>
      </c>
      <c r="G352" s="23" t="str" cm="1">
        <f t="array" aca="1" ref="G352" ca="1">INDIRECT("mercancia!D"&amp;(INT((ROW()-2)/5)+2))</f>
        <v>900.678.901-6</v>
      </c>
      <c r="H352" s="21" t="str">
        <f>CHOOSE(MOD(70,3)+1,"CC-100 Bodega Central","CC-101 Sucursal Centro","CC-102 Sucursal Itagüí")</f>
        <v>CC-101 Sucursal Centro</v>
      </c>
      <c r="I352" s="21" t="str">
        <f ca="1">"Compra mercancía - "&amp;mercancia!E72&amp;" - "&amp;mercancia!A72</f>
        <v>Compra mercancía - Hierros y Mallas Bello S.A.S. - FE-1071</v>
      </c>
      <c r="J352" s="24">
        <f ca="1">mercancia!H72</f>
        <v>1203800</v>
      </c>
      <c r="K352" s="24">
        <f>0</f>
        <v>0</v>
      </c>
      <c r="L352" s="25" t="str">
        <f>mercancia!A72</f>
        <v>FE-1071</v>
      </c>
    </row>
    <row r="353" spans="1:12" x14ac:dyDescent="0.35">
      <c r="A353" s="20" t="str">
        <f>"CC-MC-"&amp;TEXT(1070,"0000")</f>
        <v>CC-MC-1070</v>
      </c>
      <c r="B353" s="21" t="str">
        <f>"Causación Compra"</f>
        <v>Causación Compra</v>
      </c>
      <c r="C353" s="22">
        <f ca="1">mercancia!B72</f>
        <v>46104</v>
      </c>
      <c r="D353" s="68" t="str">
        <f>"240805"</f>
        <v>240805</v>
      </c>
      <c r="E353" s="21" t="str">
        <f>"IVA descontable - 19%"</f>
        <v>IVA descontable - 19%</v>
      </c>
      <c r="F353" s="21" t="str">
        <f ca="1">mercancia!C72</f>
        <v>Suministros Ferreteros La 80 Ltda.</v>
      </c>
      <c r="G353" s="23" t="str" cm="1">
        <f t="array" aca="1" ref="G353" ca="1">INDIRECT("mercancia!D"&amp;(INT((ROW()-2)/5)+2))</f>
        <v>900.678.901-6</v>
      </c>
      <c r="H353" s="21" t="str">
        <f>CHOOSE(MOD(70,3)+1,"CC-100 Bodega Central","CC-101 Sucursal Centro","CC-102 Sucursal Itagüí")</f>
        <v>CC-101 Sucursal Centro</v>
      </c>
      <c r="I353" s="21" t="str">
        <f>"IVA descontable factura "&amp;mercancia!A72</f>
        <v>IVA descontable factura FE-1071</v>
      </c>
      <c r="J353" s="24">
        <f ca="1">mercancia!I72</f>
        <v>228722</v>
      </c>
      <c r="K353" s="24">
        <f>0</f>
        <v>0</v>
      </c>
      <c r="L353" s="25" t="str">
        <f>mercancia!A72</f>
        <v>FE-1071</v>
      </c>
    </row>
    <row r="354" spans="1:12" x14ac:dyDescent="0.35">
      <c r="A354" s="20" t="str">
        <f>"CC-MC-"&amp;TEXT(1070,"0000")</f>
        <v>CC-MC-1070</v>
      </c>
      <c r="B354" s="21" t="str">
        <f>"Causación Compra"</f>
        <v>Causación Compra</v>
      </c>
      <c r="C354" s="22">
        <f ca="1">mercancia!B72</f>
        <v>46104</v>
      </c>
      <c r="D354" s="68" t="str">
        <f>"236540"</f>
        <v>236540</v>
      </c>
      <c r="E354" s="21" t="str">
        <f>"Retención en la fuente - Compras"</f>
        <v>Retención en la fuente - Compras</v>
      </c>
      <c r="F354" s="21" t="str">
        <f ca="1">mercancia!C72</f>
        <v>Suministros Ferreteros La 80 Ltda.</v>
      </c>
      <c r="G354" s="23" t="str" cm="1">
        <f t="array" aca="1" ref="G354" ca="1">INDIRECT("mercancia!D"&amp;(INT((ROW()-2)/5)+2))</f>
        <v>900.678.901-6</v>
      </c>
      <c r="H354" s="21" t="str">
        <f>CHOOSE(MOD(70,3)+1,"CC-100 Bodega Central","CC-101 Sucursal Centro","CC-102 Sucursal Itagüí")</f>
        <v>CC-101 Sucursal Centro</v>
      </c>
      <c r="I354" s="21" t="str">
        <f ca="1">"ReteFuente "&amp;TEXT(mercancia!K72,"0.0%")&amp;" sobre compra "&amp;mercancia!A72</f>
        <v>ReteFuente 03% sobre compra FE-1071</v>
      </c>
      <c r="J354" s="24">
        <f>0</f>
        <v>0</v>
      </c>
      <c r="K354" s="24">
        <f ca="1">mercancia!L72</f>
        <v>30095</v>
      </c>
      <c r="L354" s="25" t="str">
        <f>mercancia!A72</f>
        <v>FE-1071</v>
      </c>
    </row>
    <row r="355" spans="1:12" x14ac:dyDescent="0.35">
      <c r="A355" s="20" t="str">
        <f>"CC-MC-"&amp;TEXT(1070,"0000")</f>
        <v>CC-MC-1070</v>
      </c>
      <c r="B355" s="21" t="str">
        <f>"Causación Compra"</f>
        <v>Causación Compra</v>
      </c>
      <c r="C355" s="22">
        <f ca="1">mercancia!B72</f>
        <v>46104</v>
      </c>
      <c r="D355" s="68" t="str">
        <f>"236805"</f>
        <v>236805</v>
      </c>
      <c r="E355" s="21" t="str">
        <f>"Retención ICA - Medellín 11.04‰"</f>
        <v>Retención ICA - Medellín 11.04‰</v>
      </c>
      <c r="F355" s="21" t="str">
        <f ca="1">mercancia!C72</f>
        <v>Suministros Ferreteros La 80 Ltda.</v>
      </c>
      <c r="G355" s="23" t="str" cm="1">
        <f t="array" aca="1" ref="G355" ca="1">INDIRECT("mercancia!D"&amp;(INT((ROW()-2)/5)+2))</f>
        <v>900.678.901-6</v>
      </c>
      <c r="H355" s="21" t="str">
        <f>CHOOSE(MOD(70,3)+1,"CC-100 Bodega Central","CC-101 Sucursal Centro","CC-102 Sucursal Itagüí")</f>
        <v>CC-101 Sucursal Centro</v>
      </c>
      <c r="I355" s="21" t="str">
        <f>"ReteICA Medellín sobre compra "&amp;mercancia!A72</f>
        <v>ReteICA Medellín sobre compra FE-1071</v>
      </c>
      <c r="J355" s="24">
        <f>0</f>
        <v>0</v>
      </c>
      <c r="K355" s="24">
        <f ca="1">mercancia!N72</f>
        <v>13290</v>
      </c>
      <c r="L355" s="25" t="str">
        <f>mercancia!A72</f>
        <v>FE-1071</v>
      </c>
    </row>
    <row r="356" spans="1:12" x14ac:dyDescent="0.35">
      <c r="A356" s="20" t="str">
        <f>"CC-MC-"&amp;TEXT(1070,"0000")</f>
        <v>CC-MC-1070</v>
      </c>
      <c r="B356" s="21" t="str">
        <f>"Causación Compra"</f>
        <v>Causación Compra</v>
      </c>
      <c r="C356" s="22">
        <f ca="1">mercancia!B72</f>
        <v>46104</v>
      </c>
      <c r="D356" s="68" t="str">
        <f>"220505"</f>
        <v>220505</v>
      </c>
      <c r="E356" s="21" t="str">
        <f>"Proveedores nacionales"</f>
        <v>Proveedores nacionales</v>
      </c>
      <c r="F356" s="21" t="str">
        <f ca="1">mercancia!C72</f>
        <v>Suministros Ferreteros La 80 Ltda.</v>
      </c>
      <c r="G356" s="23" t="str" cm="1">
        <f t="array" aca="1" ref="G356" ca="1">INDIRECT("mercancia!D"&amp;(INT((ROW()-2)/5)+2))</f>
        <v>900.678.901-6</v>
      </c>
      <c r="H356" s="21" t="str">
        <f>CHOOSE(MOD(70,3)+1,"CC-100 Bodega Central","CC-101 Sucursal Centro","CC-102 Sucursal Itagüí")</f>
        <v>CC-101 Sucursal Centro</v>
      </c>
      <c r="I356" s="21" t="str">
        <f>"Cuenta por pagar proveedor - "&amp;mercancia!A72</f>
        <v>Cuenta por pagar proveedor - FE-1071</v>
      </c>
      <c r="J356" s="24">
        <f>0</f>
        <v>0</v>
      </c>
      <c r="K356" s="24">
        <f ca="1">mercancia!O72</f>
        <v>1389137</v>
      </c>
      <c r="L356" s="25" t="str">
        <f>mercancia!A72</f>
        <v>FE-1071</v>
      </c>
    </row>
    <row r="357" spans="1:12" x14ac:dyDescent="0.35">
      <c r="A357" s="26" t="str">
        <f>"CC-MC-"&amp;TEXT(1071,"0000")</f>
        <v>CC-MC-1071</v>
      </c>
      <c r="B357" s="27" t="str">
        <f>"Causación Compra"</f>
        <v>Causación Compra</v>
      </c>
      <c r="C357" s="28">
        <f ca="1">mercancia!B73</f>
        <v>46056</v>
      </c>
      <c r="D357" s="69" t="str">
        <f>"143505"</f>
        <v>143505</v>
      </c>
      <c r="E357" s="27" t="str">
        <f>"Mercancías no fabricadas por la empresa"</f>
        <v>Mercancías no fabricadas por la empresa</v>
      </c>
      <c r="F357" s="27" t="str">
        <f ca="1">mercancia!C73</f>
        <v>Herramientas Industriales Medellín S.A.S.</v>
      </c>
      <c r="G357" s="29" t="str" cm="1">
        <f t="array" aca="1" ref="G357" ca="1">INDIRECT("mercancia!D"&amp;(INT((ROW()-2)/5)+2))</f>
        <v>900.567.890-5</v>
      </c>
      <c r="H357" s="27" t="str">
        <f>CHOOSE(MOD(71,3)+1,"CC-100 Bodega Central","CC-101 Sucursal Centro","CC-102 Sucursal Itagüí")</f>
        <v>CC-102 Sucursal Itagüí</v>
      </c>
      <c r="I357" s="27" t="str">
        <f ca="1">"Compra mercancía - "&amp;mercancia!E73&amp;" - "&amp;mercancia!A73</f>
        <v>Compra mercancía - Teja eternit ondulada No. 6 - FE-1072</v>
      </c>
      <c r="J357" s="30">
        <f ca="1">mercancia!H73</f>
        <v>22636800</v>
      </c>
      <c r="K357" s="30">
        <f>0</f>
        <v>0</v>
      </c>
      <c r="L357" s="31" t="str">
        <f>mercancia!A73</f>
        <v>FE-1072</v>
      </c>
    </row>
    <row r="358" spans="1:12" x14ac:dyDescent="0.35">
      <c r="A358" s="26" t="str">
        <f>"CC-MC-"&amp;TEXT(1071,"0000")</f>
        <v>CC-MC-1071</v>
      </c>
      <c r="B358" s="27" t="str">
        <f>"Causación Compra"</f>
        <v>Causación Compra</v>
      </c>
      <c r="C358" s="28">
        <f ca="1">mercancia!B73</f>
        <v>46056</v>
      </c>
      <c r="D358" s="69" t="str">
        <f>"240805"</f>
        <v>240805</v>
      </c>
      <c r="E358" s="27" t="str">
        <f>"IVA descontable - 19%"</f>
        <v>IVA descontable - 19%</v>
      </c>
      <c r="F358" s="27" t="str">
        <f ca="1">mercancia!C73</f>
        <v>Herramientas Industriales Medellín S.A.S.</v>
      </c>
      <c r="G358" s="29" t="str" cm="1">
        <f t="array" aca="1" ref="G358" ca="1">INDIRECT("mercancia!D"&amp;(INT((ROW()-2)/5)+2))</f>
        <v>900.567.890-5</v>
      </c>
      <c r="H358" s="27" t="str">
        <f>CHOOSE(MOD(71,3)+1,"CC-100 Bodega Central","CC-101 Sucursal Centro","CC-102 Sucursal Itagüí")</f>
        <v>CC-102 Sucursal Itagüí</v>
      </c>
      <c r="I358" s="27" t="str">
        <f>"IVA descontable factura "&amp;mercancia!A73</f>
        <v>IVA descontable factura FE-1072</v>
      </c>
      <c r="J358" s="30">
        <f ca="1">mercancia!I73</f>
        <v>4300992</v>
      </c>
      <c r="K358" s="30">
        <f>0</f>
        <v>0</v>
      </c>
      <c r="L358" s="31" t="str">
        <f>mercancia!A73</f>
        <v>FE-1072</v>
      </c>
    </row>
    <row r="359" spans="1:12" x14ac:dyDescent="0.35">
      <c r="A359" s="26" t="str">
        <f>"CC-MC-"&amp;TEXT(1071,"0000")</f>
        <v>CC-MC-1071</v>
      </c>
      <c r="B359" s="27" t="str">
        <f>"Causación Compra"</f>
        <v>Causación Compra</v>
      </c>
      <c r="C359" s="28">
        <f ca="1">mercancia!B73</f>
        <v>46056</v>
      </c>
      <c r="D359" s="69" t="str">
        <f>"236540"</f>
        <v>236540</v>
      </c>
      <c r="E359" s="27" t="str">
        <f>"Retención en la fuente - Compras"</f>
        <v>Retención en la fuente - Compras</v>
      </c>
      <c r="F359" s="27" t="str">
        <f ca="1">mercancia!C73</f>
        <v>Herramientas Industriales Medellín S.A.S.</v>
      </c>
      <c r="G359" s="29" t="str" cm="1">
        <f t="array" aca="1" ref="G359" ca="1">INDIRECT("mercancia!D"&amp;(INT((ROW()-2)/5)+2))</f>
        <v>900.567.890-5</v>
      </c>
      <c r="H359" s="27" t="str">
        <f>CHOOSE(MOD(71,3)+1,"CC-100 Bodega Central","CC-101 Sucursal Centro","CC-102 Sucursal Itagüí")</f>
        <v>CC-102 Sucursal Itagüí</v>
      </c>
      <c r="I359" s="27" t="str">
        <f ca="1">"ReteFuente "&amp;TEXT(mercancia!K73,"0.0%")&amp;" sobre compra "&amp;mercancia!A73</f>
        <v>ReteFuente 04% sobre compra FE-1072</v>
      </c>
      <c r="J359" s="30">
        <f>0</f>
        <v>0</v>
      </c>
      <c r="K359" s="30">
        <f ca="1">mercancia!L73</f>
        <v>792288</v>
      </c>
      <c r="L359" s="31" t="str">
        <f>mercancia!A73</f>
        <v>FE-1072</v>
      </c>
    </row>
    <row r="360" spans="1:12" x14ac:dyDescent="0.35">
      <c r="A360" s="26" t="str">
        <f>"CC-MC-"&amp;TEXT(1071,"0000")</f>
        <v>CC-MC-1071</v>
      </c>
      <c r="B360" s="27" t="str">
        <f>"Causación Compra"</f>
        <v>Causación Compra</v>
      </c>
      <c r="C360" s="28">
        <f ca="1">mercancia!B73</f>
        <v>46056</v>
      </c>
      <c r="D360" s="69" t="str">
        <f>"236805"</f>
        <v>236805</v>
      </c>
      <c r="E360" s="27" t="str">
        <f>"Retención ICA - Medellín 11.04‰"</f>
        <v>Retención ICA - Medellín 11.04‰</v>
      </c>
      <c r="F360" s="27" t="str">
        <f ca="1">mercancia!C73</f>
        <v>Herramientas Industriales Medellín S.A.S.</v>
      </c>
      <c r="G360" s="29" t="str" cm="1">
        <f t="array" aca="1" ref="G360" ca="1">INDIRECT("mercancia!D"&amp;(INT((ROW()-2)/5)+2))</f>
        <v>900.567.890-5</v>
      </c>
      <c r="H360" s="27" t="str">
        <f>CHOOSE(MOD(71,3)+1,"CC-100 Bodega Central","CC-101 Sucursal Centro","CC-102 Sucursal Itagüí")</f>
        <v>CC-102 Sucursal Itagüí</v>
      </c>
      <c r="I360" s="27" t="str">
        <f>"ReteICA Medellín sobre compra "&amp;mercancia!A73</f>
        <v>ReteICA Medellín sobre compra FE-1072</v>
      </c>
      <c r="J360" s="30">
        <f>0</f>
        <v>0</v>
      </c>
      <c r="K360" s="30">
        <f ca="1">mercancia!N73</f>
        <v>249910</v>
      </c>
      <c r="L360" s="31" t="str">
        <f>mercancia!A73</f>
        <v>FE-1072</v>
      </c>
    </row>
    <row r="361" spans="1:12" x14ac:dyDescent="0.35">
      <c r="A361" s="26" t="str">
        <f>"CC-MC-"&amp;TEXT(1071,"0000")</f>
        <v>CC-MC-1071</v>
      </c>
      <c r="B361" s="27" t="str">
        <f>"Causación Compra"</f>
        <v>Causación Compra</v>
      </c>
      <c r="C361" s="28">
        <f ca="1">mercancia!B73</f>
        <v>46056</v>
      </c>
      <c r="D361" s="69" t="str">
        <f>"220505"</f>
        <v>220505</v>
      </c>
      <c r="E361" s="27" t="str">
        <f>"Proveedores nacionales"</f>
        <v>Proveedores nacionales</v>
      </c>
      <c r="F361" s="27" t="str">
        <f ca="1">mercancia!C73</f>
        <v>Herramientas Industriales Medellín S.A.S.</v>
      </c>
      <c r="G361" s="29" t="str" cm="1">
        <f t="array" aca="1" ref="G361" ca="1">INDIRECT("mercancia!D"&amp;(INT((ROW()-2)/5)+2))</f>
        <v>900.567.890-5</v>
      </c>
      <c r="H361" s="27" t="str">
        <f>CHOOSE(MOD(71,3)+1,"CC-100 Bodega Central","CC-101 Sucursal Centro","CC-102 Sucursal Itagüí")</f>
        <v>CC-102 Sucursal Itagüí</v>
      </c>
      <c r="I361" s="27" t="str">
        <f>"Cuenta por pagar proveedor - "&amp;mercancia!A73</f>
        <v>Cuenta por pagar proveedor - FE-1072</v>
      </c>
      <c r="J361" s="30">
        <f>0</f>
        <v>0</v>
      </c>
      <c r="K361" s="30">
        <f ca="1">mercancia!O73</f>
        <v>25895594</v>
      </c>
      <c r="L361" s="31" t="str">
        <f>mercancia!A73</f>
        <v>FE-1072</v>
      </c>
    </row>
    <row r="362" spans="1:12" x14ac:dyDescent="0.35">
      <c r="A362" s="20" t="str">
        <f>"CC-MC-"&amp;TEXT(1072,"0000")</f>
        <v>CC-MC-1072</v>
      </c>
      <c r="B362" s="21" t="str">
        <f>"Causación Compra"</f>
        <v>Causación Compra</v>
      </c>
      <c r="C362" s="22">
        <f ca="1">mercancia!B74</f>
        <v>46075</v>
      </c>
      <c r="D362" s="68" t="str">
        <f>"143505"</f>
        <v>143505</v>
      </c>
      <c r="E362" s="21" t="str">
        <f>"Mercancías no fabricadas por la empresa"</f>
        <v>Mercancías no fabricadas por la empresa</v>
      </c>
      <c r="F362" s="21" t="str">
        <f ca="1">mercancia!C74</f>
        <v>Ferretería Antioqueña Ltda.</v>
      </c>
      <c r="G362" s="23" t="str" cm="1">
        <f t="array" aca="1" ref="G362" ca="1">INDIRECT("mercancia!D"&amp;(INT((ROW()-2)/5)+2))</f>
        <v>900.234.567-2</v>
      </c>
      <c r="H362" s="21" t="str">
        <f>CHOOSE(MOD(72,3)+1,"CC-100 Bodega Central","CC-101 Sucursal Centro","CC-102 Sucursal Itagüí")</f>
        <v>CC-100 Bodega Central</v>
      </c>
      <c r="I362" s="21" t="str">
        <f ca="1">"Compra mercancía - "&amp;mercancia!E74&amp;" - "&amp;mercancia!A74</f>
        <v>Compra mercancía - Destornillador de pala 1/4" - FE-1073</v>
      </c>
      <c r="J362" s="24">
        <f ca="1">mercancia!H74</f>
        <v>8675600</v>
      </c>
      <c r="K362" s="24">
        <f>0</f>
        <v>0</v>
      </c>
      <c r="L362" s="25" t="str">
        <f>mercancia!A74</f>
        <v>FE-1073</v>
      </c>
    </row>
    <row r="363" spans="1:12" x14ac:dyDescent="0.35">
      <c r="A363" s="20" t="str">
        <f>"CC-MC-"&amp;TEXT(1072,"0000")</f>
        <v>CC-MC-1072</v>
      </c>
      <c r="B363" s="21" t="str">
        <f>"Causación Compra"</f>
        <v>Causación Compra</v>
      </c>
      <c r="C363" s="22">
        <f ca="1">mercancia!B74</f>
        <v>46075</v>
      </c>
      <c r="D363" s="68" t="str">
        <f>"240805"</f>
        <v>240805</v>
      </c>
      <c r="E363" s="21" t="str">
        <f>"IVA descontable - 19%"</f>
        <v>IVA descontable - 19%</v>
      </c>
      <c r="F363" s="21" t="str">
        <f ca="1">mercancia!C74</f>
        <v>Ferretería Antioqueña Ltda.</v>
      </c>
      <c r="G363" s="23" t="str" cm="1">
        <f t="array" aca="1" ref="G363" ca="1">INDIRECT("mercancia!D"&amp;(INT((ROW()-2)/5)+2))</f>
        <v>900.234.567-2</v>
      </c>
      <c r="H363" s="21" t="str">
        <f>CHOOSE(MOD(72,3)+1,"CC-100 Bodega Central","CC-101 Sucursal Centro","CC-102 Sucursal Itagüí")</f>
        <v>CC-100 Bodega Central</v>
      </c>
      <c r="I363" s="21" t="str">
        <f>"IVA descontable factura "&amp;mercancia!A74</f>
        <v>IVA descontable factura FE-1073</v>
      </c>
      <c r="J363" s="24">
        <f ca="1">mercancia!I74</f>
        <v>1648364</v>
      </c>
      <c r="K363" s="24">
        <f>0</f>
        <v>0</v>
      </c>
      <c r="L363" s="25" t="str">
        <f>mercancia!A74</f>
        <v>FE-1073</v>
      </c>
    </row>
    <row r="364" spans="1:12" x14ac:dyDescent="0.35">
      <c r="A364" s="20" t="str">
        <f>"CC-MC-"&amp;TEXT(1072,"0000")</f>
        <v>CC-MC-1072</v>
      </c>
      <c r="B364" s="21" t="str">
        <f>"Causación Compra"</f>
        <v>Causación Compra</v>
      </c>
      <c r="C364" s="22">
        <f ca="1">mercancia!B74</f>
        <v>46075</v>
      </c>
      <c r="D364" s="68" t="str">
        <f>"236540"</f>
        <v>236540</v>
      </c>
      <c r="E364" s="21" t="str">
        <f>"Retención en la fuente - Compras"</f>
        <v>Retención en la fuente - Compras</v>
      </c>
      <c r="F364" s="21" t="str">
        <f ca="1">mercancia!C74</f>
        <v>Ferretería Antioqueña Ltda.</v>
      </c>
      <c r="G364" s="23" t="str" cm="1">
        <f t="array" aca="1" ref="G364" ca="1">INDIRECT("mercancia!D"&amp;(INT((ROW()-2)/5)+2))</f>
        <v>900.234.567-2</v>
      </c>
      <c r="H364" s="21" t="str">
        <f>CHOOSE(MOD(72,3)+1,"CC-100 Bodega Central","CC-101 Sucursal Centro","CC-102 Sucursal Itagüí")</f>
        <v>CC-100 Bodega Central</v>
      </c>
      <c r="I364" s="21" t="str">
        <f ca="1">"ReteFuente "&amp;TEXT(mercancia!K74,"0.0%")&amp;" sobre compra "&amp;mercancia!A74</f>
        <v>ReteFuente 03% sobre compra FE-1073</v>
      </c>
      <c r="J364" s="24">
        <f>0</f>
        <v>0</v>
      </c>
      <c r="K364" s="24">
        <f ca="1">mercancia!L74</f>
        <v>216890</v>
      </c>
      <c r="L364" s="25" t="str">
        <f>mercancia!A74</f>
        <v>FE-1073</v>
      </c>
    </row>
    <row r="365" spans="1:12" x14ac:dyDescent="0.35">
      <c r="A365" s="20" t="str">
        <f>"CC-MC-"&amp;TEXT(1072,"0000")</f>
        <v>CC-MC-1072</v>
      </c>
      <c r="B365" s="21" t="str">
        <f>"Causación Compra"</f>
        <v>Causación Compra</v>
      </c>
      <c r="C365" s="22">
        <f ca="1">mercancia!B74</f>
        <v>46075</v>
      </c>
      <c r="D365" s="68" t="str">
        <f>"236805"</f>
        <v>236805</v>
      </c>
      <c r="E365" s="21" t="str">
        <f>"Retención ICA - Medellín 11.04‰"</f>
        <v>Retención ICA - Medellín 11.04‰</v>
      </c>
      <c r="F365" s="21" t="str">
        <f ca="1">mercancia!C74</f>
        <v>Ferretería Antioqueña Ltda.</v>
      </c>
      <c r="G365" s="23" t="str" cm="1">
        <f t="array" aca="1" ref="G365" ca="1">INDIRECT("mercancia!D"&amp;(INT((ROW()-2)/5)+2))</f>
        <v>900.234.567-2</v>
      </c>
      <c r="H365" s="21" t="str">
        <f>CHOOSE(MOD(72,3)+1,"CC-100 Bodega Central","CC-101 Sucursal Centro","CC-102 Sucursal Itagüí")</f>
        <v>CC-100 Bodega Central</v>
      </c>
      <c r="I365" s="21" t="str">
        <f>"ReteICA Medellín sobre compra "&amp;mercancia!A74</f>
        <v>ReteICA Medellín sobre compra FE-1073</v>
      </c>
      <c r="J365" s="24">
        <f>0</f>
        <v>0</v>
      </c>
      <c r="K365" s="24">
        <f ca="1">mercancia!N74</f>
        <v>95779</v>
      </c>
      <c r="L365" s="25" t="str">
        <f>mercancia!A74</f>
        <v>FE-1073</v>
      </c>
    </row>
    <row r="366" spans="1:12" x14ac:dyDescent="0.35">
      <c r="A366" s="20" t="str">
        <f>"CC-MC-"&amp;TEXT(1072,"0000")</f>
        <v>CC-MC-1072</v>
      </c>
      <c r="B366" s="21" t="str">
        <f>"Causación Compra"</f>
        <v>Causación Compra</v>
      </c>
      <c r="C366" s="22">
        <f ca="1">mercancia!B74</f>
        <v>46075</v>
      </c>
      <c r="D366" s="68" t="str">
        <f>"220505"</f>
        <v>220505</v>
      </c>
      <c r="E366" s="21" t="str">
        <f>"Proveedores nacionales"</f>
        <v>Proveedores nacionales</v>
      </c>
      <c r="F366" s="21" t="str">
        <f ca="1">mercancia!C74</f>
        <v>Ferretería Antioqueña Ltda.</v>
      </c>
      <c r="G366" s="23" t="str" cm="1">
        <f t="array" aca="1" ref="G366" ca="1">INDIRECT("mercancia!D"&amp;(INT((ROW()-2)/5)+2))</f>
        <v>900.234.567-2</v>
      </c>
      <c r="H366" s="21" t="str">
        <f>CHOOSE(MOD(72,3)+1,"CC-100 Bodega Central","CC-101 Sucursal Centro","CC-102 Sucursal Itagüí")</f>
        <v>CC-100 Bodega Central</v>
      </c>
      <c r="I366" s="21" t="str">
        <f>"Cuenta por pagar proveedor - "&amp;mercancia!A74</f>
        <v>Cuenta por pagar proveedor - FE-1073</v>
      </c>
      <c r="J366" s="24">
        <f>0</f>
        <v>0</v>
      </c>
      <c r="K366" s="24">
        <f ca="1">mercancia!O74</f>
        <v>10011295</v>
      </c>
      <c r="L366" s="25" t="str">
        <f>mercancia!A74</f>
        <v>FE-1073</v>
      </c>
    </row>
    <row r="367" spans="1:12" x14ac:dyDescent="0.35">
      <c r="A367" s="26" t="str">
        <f>"CC-MC-"&amp;TEXT(1073,"0000")</f>
        <v>CC-MC-1073</v>
      </c>
      <c r="B367" s="27" t="str">
        <f>"Causación Compra"</f>
        <v>Causación Compra</v>
      </c>
      <c r="C367" s="28">
        <f ca="1">mercancia!B75</f>
        <v>46033</v>
      </c>
      <c r="D367" s="69" t="str">
        <f>"143505"</f>
        <v>143505</v>
      </c>
      <c r="E367" s="27" t="str">
        <f>"Mercancías no fabricadas por la empresa"</f>
        <v>Mercancías no fabricadas por la empresa</v>
      </c>
      <c r="F367" s="27" t="str">
        <f ca="1">mercancia!C75</f>
        <v>Cementos y Materiales Paisa S.A.</v>
      </c>
      <c r="G367" s="29" t="str" cm="1">
        <f t="array" aca="1" ref="G367" ca="1">INDIRECT("mercancia!D"&amp;(INT((ROW()-2)/5)+2))</f>
        <v>900.456.789-4</v>
      </c>
      <c r="H367" s="27" t="str">
        <f>CHOOSE(MOD(73,3)+1,"CC-100 Bodega Central","CC-101 Sucursal Centro","CC-102 Sucursal Itagüí")</f>
        <v>CC-101 Sucursal Centro</v>
      </c>
      <c r="I367" s="27" t="str">
        <f ca="1">"Compra mercancía - "&amp;mercancia!E75&amp;" - "&amp;mercancia!A75</f>
        <v>Compra mercancía - Guantes de carnaza par - FE-1074</v>
      </c>
      <c r="J367" s="30">
        <f ca="1">mercancia!H75</f>
        <v>3874000</v>
      </c>
      <c r="K367" s="30">
        <f>0</f>
        <v>0</v>
      </c>
      <c r="L367" s="31" t="str">
        <f>mercancia!A75</f>
        <v>FE-1074</v>
      </c>
    </row>
    <row r="368" spans="1:12" x14ac:dyDescent="0.35">
      <c r="A368" s="26" t="str">
        <f>"CC-MC-"&amp;TEXT(1073,"0000")</f>
        <v>CC-MC-1073</v>
      </c>
      <c r="B368" s="27" t="str">
        <f>"Causación Compra"</f>
        <v>Causación Compra</v>
      </c>
      <c r="C368" s="28">
        <f ca="1">mercancia!B75</f>
        <v>46033</v>
      </c>
      <c r="D368" s="69" t="str">
        <f>"240805"</f>
        <v>240805</v>
      </c>
      <c r="E368" s="27" t="str">
        <f>"IVA descontable - 19%"</f>
        <v>IVA descontable - 19%</v>
      </c>
      <c r="F368" s="27" t="str">
        <f ca="1">mercancia!C75</f>
        <v>Cementos y Materiales Paisa S.A.</v>
      </c>
      <c r="G368" s="29" t="str" cm="1">
        <f t="array" aca="1" ref="G368" ca="1">INDIRECT("mercancia!D"&amp;(INT((ROW()-2)/5)+2))</f>
        <v>900.456.789-4</v>
      </c>
      <c r="H368" s="27" t="str">
        <f>CHOOSE(MOD(73,3)+1,"CC-100 Bodega Central","CC-101 Sucursal Centro","CC-102 Sucursal Itagüí")</f>
        <v>CC-101 Sucursal Centro</v>
      </c>
      <c r="I368" s="27" t="str">
        <f>"IVA descontable factura "&amp;mercancia!A75</f>
        <v>IVA descontable factura FE-1074</v>
      </c>
      <c r="J368" s="30">
        <f ca="1">mercancia!I75</f>
        <v>736060</v>
      </c>
      <c r="K368" s="30">
        <f>0</f>
        <v>0</v>
      </c>
      <c r="L368" s="31" t="str">
        <f>mercancia!A75</f>
        <v>FE-1074</v>
      </c>
    </row>
    <row r="369" spans="1:12" x14ac:dyDescent="0.35">
      <c r="A369" s="26" t="str">
        <f>"CC-MC-"&amp;TEXT(1073,"0000")</f>
        <v>CC-MC-1073</v>
      </c>
      <c r="B369" s="27" t="str">
        <f>"Causación Compra"</f>
        <v>Causación Compra</v>
      </c>
      <c r="C369" s="28">
        <f ca="1">mercancia!B75</f>
        <v>46033</v>
      </c>
      <c r="D369" s="69" t="str">
        <f>"236540"</f>
        <v>236540</v>
      </c>
      <c r="E369" s="27" t="str">
        <f>"Retención en la fuente - Compras"</f>
        <v>Retención en la fuente - Compras</v>
      </c>
      <c r="F369" s="27" t="str">
        <f ca="1">mercancia!C75</f>
        <v>Cementos y Materiales Paisa S.A.</v>
      </c>
      <c r="G369" s="29" t="str" cm="1">
        <f t="array" aca="1" ref="G369" ca="1">INDIRECT("mercancia!D"&amp;(INT((ROW()-2)/5)+2))</f>
        <v>900.456.789-4</v>
      </c>
      <c r="H369" s="27" t="str">
        <f>CHOOSE(MOD(73,3)+1,"CC-100 Bodega Central","CC-101 Sucursal Centro","CC-102 Sucursal Itagüí")</f>
        <v>CC-101 Sucursal Centro</v>
      </c>
      <c r="I369" s="27" t="str">
        <f ca="1">"ReteFuente "&amp;TEXT(mercancia!K75,"0.0%")&amp;" sobre compra "&amp;mercancia!A75</f>
        <v>ReteFuente 03% sobre compra FE-1074</v>
      </c>
      <c r="J369" s="30">
        <f>0</f>
        <v>0</v>
      </c>
      <c r="K369" s="30">
        <f ca="1">mercancia!L75</f>
        <v>96850</v>
      </c>
      <c r="L369" s="31" t="str">
        <f>mercancia!A75</f>
        <v>FE-1074</v>
      </c>
    </row>
    <row r="370" spans="1:12" x14ac:dyDescent="0.35">
      <c r="A370" s="26" t="str">
        <f>"CC-MC-"&amp;TEXT(1073,"0000")</f>
        <v>CC-MC-1073</v>
      </c>
      <c r="B370" s="27" t="str">
        <f>"Causación Compra"</f>
        <v>Causación Compra</v>
      </c>
      <c r="C370" s="28">
        <f ca="1">mercancia!B75</f>
        <v>46033</v>
      </c>
      <c r="D370" s="69" t="str">
        <f>"236805"</f>
        <v>236805</v>
      </c>
      <c r="E370" s="27" t="str">
        <f>"Retención ICA - Medellín 11.04‰"</f>
        <v>Retención ICA - Medellín 11.04‰</v>
      </c>
      <c r="F370" s="27" t="str">
        <f ca="1">mercancia!C75</f>
        <v>Cementos y Materiales Paisa S.A.</v>
      </c>
      <c r="G370" s="29" t="str" cm="1">
        <f t="array" aca="1" ref="G370" ca="1">INDIRECT("mercancia!D"&amp;(INT((ROW()-2)/5)+2))</f>
        <v>900.456.789-4</v>
      </c>
      <c r="H370" s="27" t="str">
        <f>CHOOSE(MOD(73,3)+1,"CC-100 Bodega Central","CC-101 Sucursal Centro","CC-102 Sucursal Itagüí")</f>
        <v>CC-101 Sucursal Centro</v>
      </c>
      <c r="I370" s="27" t="str">
        <f>"ReteICA Medellín sobre compra "&amp;mercancia!A75</f>
        <v>ReteICA Medellín sobre compra FE-1074</v>
      </c>
      <c r="J370" s="30">
        <f>0</f>
        <v>0</v>
      </c>
      <c r="K370" s="30">
        <f ca="1">mercancia!N75</f>
        <v>42769</v>
      </c>
      <c r="L370" s="31" t="str">
        <f>mercancia!A75</f>
        <v>FE-1074</v>
      </c>
    </row>
    <row r="371" spans="1:12" x14ac:dyDescent="0.35">
      <c r="A371" s="26" t="str">
        <f>"CC-MC-"&amp;TEXT(1073,"0000")</f>
        <v>CC-MC-1073</v>
      </c>
      <c r="B371" s="27" t="str">
        <f>"Causación Compra"</f>
        <v>Causación Compra</v>
      </c>
      <c r="C371" s="28">
        <f ca="1">mercancia!B75</f>
        <v>46033</v>
      </c>
      <c r="D371" s="69" t="str">
        <f>"220505"</f>
        <v>220505</v>
      </c>
      <c r="E371" s="27" t="str">
        <f>"Proveedores nacionales"</f>
        <v>Proveedores nacionales</v>
      </c>
      <c r="F371" s="27" t="str">
        <f ca="1">mercancia!C75</f>
        <v>Cementos y Materiales Paisa S.A.</v>
      </c>
      <c r="G371" s="29" t="str" cm="1">
        <f t="array" aca="1" ref="G371" ca="1">INDIRECT("mercancia!D"&amp;(INT((ROW()-2)/5)+2))</f>
        <v>900.456.789-4</v>
      </c>
      <c r="H371" s="27" t="str">
        <f>CHOOSE(MOD(73,3)+1,"CC-100 Bodega Central","CC-101 Sucursal Centro","CC-102 Sucursal Itagüí")</f>
        <v>CC-101 Sucursal Centro</v>
      </c>
      <c r="I371" s="27" t="str">
        <f>"Cuenta por pagar proveedor - "&amp;mercancia!A75</f>
        <v>Cuenta por pagar proveedor - FE-1074</v>
      </c>
      <c r="J371" s="30">
        <f>0</f>
        <v>0</v>
      </c>
      <c r="K371" s="30">
        <f ca="1">mercancia!O75</f>
        <v>4470441</v>
      </c>
      <c r="L371" s="31" t="str">
        <f>mercancia!A75</f>
        <v>FE-1074</v>
      </c>
    </row>
    <row r="372" spans="1:12" x14ac:dyDescent="0.35">
      <c r="A372" s="20" t="str">
        <f>"CC-MC-"&amp;TEXT(1074,"0000")</f>
        <v>CC-MC-1074</v>
      </c>
      <c r="B372" s="21" t="str">
        <f>"Causación Compra"</f>
        <v>Causación Compra</v>
      </c>
      <c r="C372" s="22">
        <f ca="1">mercancia!B76</f>
        <v>46052</v>
      </c>
      <c r="D372" s="68" t="str">
        <f>"143505"</f>
        <v>143505</v>
      </c>
      <c r="E372" s="21" t="str">
        <f>"Mercancías no fabricadas por la empresa"</f>
        <v>Mercancías no fabricadas por la empresa</v>
      </c>
      <c r="F372" s="21" t="str">
        <f ca="1">mercancia!C76</f>
        <v>Hierros y Mallas Bello S.A.S.</v>
      </c>
      <c r="G372" s="23" t="str" cm="1">
        <f t="array" aca="1" ref="G372" ca="1">INDIRECT("mercancia!D"&amp;(INT((ROW()-2)/5)+2))</f>
        <v>900.901.234-9</v>
      </c>
      <c r="H372" s="21" t="str">
        <f>CHOOSE(MOD(74,3)+1,"CC-100 Bodega Central","CC-101 Sucursal Centro","CC-102 Sucursal Itagüí")</f>
        <v>CC-102 Sucursal Itagüí</v>
      </c>
      <c r="I372" s="21" t="str">
        <f ca="1">"Compra mercancía - "&amp;mercancia!E76&amp;" - "&amp;mercancia!A76</f>
        <v>Compra mercancía - Esmeril angular 4-1/2" 850W - FE-1075</v>
      </c>
      <c r="J372" s="24">
        <f ca="1">mercancia!H76</f>
        <v>36433900</v>
      </c>
      <c r="K372" s="24">
        <f>0</f>
        <v>0</v>
      </c>
      <c r="L372" s="25" t="str">
        <f>mercancia!A76</f>
        <v>FE-1075</v>
      </c>
    </row>
    <row r="373" spans="1:12" x14ac:dyDescent="0.35">
      <c r="A373" s="20" t="str">
        <f>"CC-MC-"&amp;TEXT(1074,"0000")</f>
        <v>CC-MC-1074</v>
      </c>
      <c r="B373" s="21" t="str">
        <f>"Causación Compra"</f>
        <v>Causación Compra</v>
      </c>
      <c r="C373" s="22">
        <f ca="1">mercancia!B76</f>
        <v>46052</v>
      </c>
      <c r="D373" s="68" t="str">
        <f>"240805"</f>
        <v>240805</v>
      </c>
      <c r="E373" s="21" t="str">
        <f>"IVA descontable - 19%"</f>
        <v>IVA descontable - 19%</v>
      </c>
      <c r="F373" s="21" t="str">
        <f ca="1">mercancia!C76</f>
        <v>Hierros y Mallas Bello S.A.S.</v>
      </c>
      <c r="G373" s="23" t="str" cm="1">
        <f t="array" aca="1" ref="G373" ca="1">INDIRECT("mercancia!D"&amp;(INT((ROW()-2)/5)+2))</f>
        <v>900.901.234-9</v>
      </c>
      <c r="H373" s="21" t="str">
        <f>CHOOSE(MOD(74,3)+1,"CC-100 Bodega Central","CC-101 Sucursal Centro","CC-102 Sucursal Itagüí")</f>
        <v>CC-102 Sucursal Itagüí</v>
      </c>
      <c r="I373" s="21" t="str">
        <f>"IVA descontable factura "&amp;mercancia!A76</f>
        <v>IVA descontable factura FE-1075</v>
      </c>
      <c r="J373" s="24">
        <f ca="1">mercancia!I76</f>
        <v>6922441</v>
      </c>
      <c r="K373" s="24">
        <f>0</f>
        <v>0</v>
      </c>
      <c r="L373" s="25" t="str">
        <f>mercancia!A76</f>
        <v>FE-1075</v>
      </c>
    </row>
    <row r="374" spans="1:12" x14ac:dyDescent="0.35">
      <c r="A374" s="20" t="str">
        <f>"CC-MC-"&amp;TEXT(1074,"0000")</f>
        <v>CC-MC-1074</v>
      </c>
      <c r="B374" s="21" t="str">
        <f>"Causación Compra"</f>
        <v>Causación Compra</v>
      </c>
      <c r="C374" s="22">
        <f ca="1">mercancia!B76</f>
        <v>46052</v>
      </c>
      <c r="D374" s="68" t="str">
        <f>"236540"</f>
        <v>236540</v>
      </c>
      <c r="E374" s="21" t="str">
        <f>"Retención en la fuente - Compras"</f>
        <v>Retención en la fuente - Compras</v>
      </c>
      <c r="F374" s="21" t="str">
        <f ca="1">mercancia!C76</f>
        <v>Hierros y Mallas Bello S.A.S.</v>
      </c>
      <c r="G374" s="23" t="str" cm="1">
        <f t="array" aca="1" ref="G374" ca="1">INDIRECT("mercancia!D"&amp;(INT((ROW()-2)/5)+2))</f>
        <v>900.901.234-9</v>
      </c>
      <c r="H374" s="21" t="str">
        <f>CHOOSE(MOD(74,3)+1,"CC-100 Bodega Central","CC-101 Sucursal Centro","CC-102 Sucursal Itagüí")</f>
        <v>CC-102 Sucursal Itagüí</v>
      </c>
      <c r="I374" s="21" t="str">
        <f ca="1">"ReteFuente "&amp;TEXT(mercancia!K76,"0.0%")&amp;" sobre compra "&amp;mercancia!A76</f>
        <v>ReteFuente 04% sobre compra FE-1075</v>
      </c>
      <c r="J374" s="24">
        <f>0</f>
        <v>0</v>
      </c>
      <c r="K374" s="24">
        <f ca="1">mercancia!L76</f>
        <v>1275187</v>
      </c>
      <c r="L374" s="25" t="str">
        <f>mercancia!A76</f>
        <v>FE-1075</v>
      </c>
    </row>
    <row r="375" spans="1:12" x14ac:dyDescent="0.35">
      <c r="A375" s="20" t="str">
        <f>"CC-MC-"&amp;TEXT(1074,"0000")</f>
        <v>CC-MC-1074</v>
      </c>
      <c r="B375" s="21" t="str">
        <f>"Causación Compra"</f>
        <v>Causación Compra</v>
      </c>
      <c r="C375" s="22">
        <f ca="1">mercancia!B76</f>
        <v>46052</v>
      </c>
      <c r="D375" s="68" t="str">
        <f>"236805"</f>
        <v>236805</v>
      </c>
      <c r="E375" s="21" t="str">
        <f>"Retención ICA - Medellín 11.04‰"</f>
        <v>Retención ICA - Medellín 11.04‰</v>
      </c>
      <c r="F375" s="21" t="str">
        <f ca="1">mercancia!C76</f>
        <v>Hierros y Mallas Bello S.A.S.</v>
      </c>
      <c r="G375" s="23" t="str" cm="1">
        <f t="array" aca="1" ref="G375" ca="1">INDIRECT("mercancia!D"&amp;(INT((ROW()-2)/5)+2))</f>
        <v>900.901.234-9</v>
      </c>
      <c r="H375" s="21" t="str">
        <f>CHOOSE(MOD(74,3)+1,"CC-100 Bodega Central","CC-101 Sucursal Centro","CC-102 Sucursal Itagüí")</f>
        <v>CC-102 Sucursal Itagüí</v>
      </c>
      <c r="I375" s="21" t="str">
        <f>"ReteICA Medellín sobre compra "&amp;mercancia!A76</f>
        <v>ReteICA Medellín sobre compra FE-1075</v>
      </c>
      <c r="J375" s="24">
        <f>0</f>
        <v>0</v>
      </c>
      <c r="K375" s="24">
        <f ca="1">mercancia!N76</f>
        <v>402230</v>
      </c>
      <c r="L375" s="25" t="str">
        <f>mercancia!A76</f>
        <v>FE-1075</v>
      </c>
    </row>
    <row r="376" spans="1:12" x14ac:dyDescent="0.35">
      <c r="A376" s="20" t="str">
        <f>"CC-MC-"&amp;TEXT(1074,"0000")</f>
        <v>CC-MC-1074</v>
      </c>
      <c r="B376" s="21" t="str">
        <f>"Causación Compra"</f>
        <v>Causación Compra</v>
      </c>
      <c r="C376" s="22">
        <f ca="1">mercancia!B76</f>
        <v>46052</v>
      </c>
      <c r="D376" s="68" t="str">
        <f>"220505"</f>
        <v>220505</v>
      </c>
      <c r="E376" s="21" t="str">
        <f>"Proveedores nacionales"</f>
        <v>Proveedores nacionales</v>
      </c>
      <c r="F376" s="21" t="str">
        <f ca="1">mercancia!C76</f>
        <v>Hierros y Mallas Bello S.A.S.</v>
      </c>
      <c r="G376" s="23" t="str" cm="1">
        <f t="array" aca="1" ref="G376" ca="1">INDIRECT("mercancia!D"&amp;(INT((ROW()-2)/5)+2))</f>
        <v>900.901.234-9</v>
      </c>
      <c r="H376" s="21" t="str">
        <f>CHOOSE(MOD(74,3)+1,"CC-100 Bodega Central","CC-101 Sucursal Centro","CC-102 Sucursal Itagüí")</f>
        <v>CC-102 Sucursal Itagüí</v>
      </c>
      <c r="I376" s="21" t="str">
        <f>"Cuenta por pagar proveedor - "&amp;mercancia!A76</f>
        <v>Cuenta por pagar proveedor - FE-1075</v>
      </c>
      <c r="J376" s="24">
        <f>0</f>
        <v>0</v>
      </c>
      <c r="K376" s="24">
        <f ca="1">mercancia!O76</f>
        <v>41678924</v>
      </c>
      <c r="L376" s="25" t="str">
        <f>mercancia!A76</f>
        <v>FE-1075</v>
      </c>
    </row>
    <row r="377" spans="1:12" x14ac:dyDescent="0.35">
      <c r="A377" s="26" t="str">
        <f>"CC-MC-"&amp;TEXT(1075,"0000")</f>
        <v>CC-MC-1075</v>
      </c>
      <c r="B377" s="27" t="str">
        <f>"Causación Compra"</f>
        <v>Causación Compra</v>
      </c>
      <c r="C377" s="28">
        <f ca="1">mercancia!B77</f>
        <v>46085</v>
      </c>
      <c r="D377" s="69" t="str">
        <f>"143505"</f>
        <v>143505</v>
      </c>
      <c r="E377" s="27" t="str">
        <f>"Mercancías no fabricadas por la empresa"</f>
        <v>Mercancías no fabricadas por la empresa</v>
      </c>
      <c r="F377" s="27" t="str">
        <f ca="1">mercancia!C77</f>
        <v>Tornillería Nacional del Valle de Aburrá</v>
      </c>
      <c r="G377" s="29" t="str" cm="1">
        <f t="array" aca="1" ref="G377" ca="1">INDIRECT("mercancia!D"&amp;(INT((ROW()-2)/5)+2))</f>
        <v>900.890.123-8</v>
      </c>
      <c r="H377" s="27" t="str">
        <f>CHOOSE(MOD(75,3)+1,"CC-100 Bodega Central","CC-101 Sucursal Centro","CC-102 Sucursal Itagüí")</f>
        <v>CC-100 Bodega Central</v>
      </c>
      <c r="I377" s="27" t="str">
        <f ca="1">"Compra mercancía - "&amp;mercancia!E77&amp;" - "&amp;mercancia!A77</f>
        <v>Compra mercancía - Suministros Ferreteros La 80 Ltda. - FE-1076</v>
      </c>
      <c r="J377" s="30">
        <f ca="1">mercancia!H77</f>
        <v>30268000</v>
      </c>
      <c r="K377" s="30">
        <f>0</f>
        <v>0</v>
      </c>
      <c r="L377" s="31" t="str">
        <f>mercancia!A77</f>
        <v>FE-1076</v>
      </c>
    </row>
    <row r="378" spans="1:12" x14ac:dyDescent="0.35">
      <c r="A378" s="26" t="str">
        <f>"CC-MC-"&amp;TEXT(1075,"0000")</f>
        <v>CC-MC-1075</v>
      </c>
      <c r="B378" s="27" t="str">
        <f>"Causación Compra"</f>
        <v>Causación Compra</v>
      </c>
      <c r="C378" s="28">
        <f ca="1">mercancia!B77</f>
        <v>46085</v>
      </c>
      <c r="D378" s="69" t="str">
        <f>"240805"</f>
        <v>240805</v>
      </c>
      <c r="E378" s="27" t="str">
        <f>"IVA descontable - 19%"</f>
        <v>IVA descontable - 19%</v>
      </c>
      <c r="F378" s="27" t="str">
        <f ca="1">mercancia!C77</f>
        <v>Tornillería Nacional del Valle de Aburrá</v>
      </c>
      <c r="G378" s="29" t="str" cm="1">
        <f t="array" aca="1" ref="G378" ca="1">INDIRECT("mercancia!D"&amp;(INT((ROW()-2)/5)+2))</f>
        <v>900.890.123-8</v>
      </c>
      <c r="H378" s="27" t="str">
        <f>CHOOSE(MOD(75,3)+1,"CC-100 Bodega Central","CC-101 Sucursal Centro","CC-102 Sucursal Itagüí")</f>
        <v>CC-100 Bodega Central</v>
      </c>
      <c r="I378" s="27" t="str">
        <f>"IVA descontable factura "&amp;mercancia!A77</f>
        <v>IVA descontable factura FE-1076</v>
      </c>
      <c r="J378" s="30">
        <f ca="1">mercancia!I77</f>
        <v>5750920</v>
      </c>
      <c r="K378" s="30">
        <f>0</f>
        <v>0</v>
      </c>
      <c r="L378" s="31" t="str">
        <f>mercancia!A77</f>
        <v>FE-1076</v>
      </c>
    </row>
    <row r="379" spans="1:12" x14ac:dyDescent="0.35">
      <c r="A379" s="26" t="str">
        <f>"CC-MC-"&amp;TEXT(1075,"0000")</f>
        <v>CC-MC-1075</v>
      </c>
      <c r="B379" s="27" t="str">
        <f>"Causación Compra"</f>
        <v>Causación Compra</v>
      </c>
      <c r="C379" s="28">
        <f ca="1">mercancia!B77</f>
        <v>46085</v>
      </c>
      <c r="D379" s="69" t="str">
        <f>"236540"</f>
        <v>236540</v>
      </c>
      <c r="E379" s="27" t="str">
        <f>"Retención en la fuente - Compras"</f>
        <v>Retención en la fuente - Compras</v>
      </c>
      <c r="F379" s="27" t="str">
        <f ca="1">mercancia!C77</f>
        <v>Tornillería Nacional del Valle de Aburrá</v>
      </c>
      <c r="G379" s="29" t="str" cm="1">
        <f t="array" aca="1" ref="G379" ca="1">INDIRECT("mercancia!D"&amp;(INT((ROW()-2)/5)+2))</f>
        <v>900.890.123-8</v>
      </c>
      <c r="H379" s="27" t="str">
        <f>CHOOSE(MOD(75,3)+1,"CC-100 Bodega Central","CC-101 Sucursal Centro","CC-102 Sucursal Itagüí")</f>
        <v>CC-100 Bodega Central</v>
      </c>
      <c r="I379" s="27" t="str">
        <f ca="1">"ReteFuente "&amp;TEXT(mercancia!K77,"0.0%")&amp;" sobre compra "&amp;mercancia!A77</f>
        <v>ReteFuente 04% sobre compra FE-1076</v>
      </c>
      <c r="J379" s="30">
        <f>0</f>
        <v>0</v>
      </c>
      <c r="K379" s="30">
        <f ca="1">mercancia!L77</f>
        <v>1059380</v>
      </c>
      <c r="L379" s="31" t="str">
        <f>mercancia!A77</f>
        <v>FE-1076</v>
      </c>
    </row>
    <row r="380" spans="1:12" x14ac:dyDescent="0.35">
      <c r="A380" s="26" t="str">
        <f>"CC-MC-"&amp;TEXT(1075,"0000")</f>
        <v>CC-MC-1075</v>
      </c>
      <c r="B380" s="27" t="str">
        <f>"Causación Compra"</f>
        <v>Causación Compra</v>
      </c>
      <c r="C380" s="28">
        <f ca="1">mercancia!B77</f>
        <v>46085</v>
      </c>
      <c r="D380" s="69" t="str">
        <f>"236805"</f>
        <v>236805</v>
      </c>
      <c r="E380" s="27" t="str">
        <f>"Retención ICA - Medellín 11.04‰"</f>
        <v>Retención ICA - Medellín 11.04‰</v>
      </c>
      <c r="F380" s="27" t="str">
        <f ca="1">mercancia!C77</f>
        <v>Tornillería Nacional del Valle de Aburrá</v>
      </c>
      <c r="G380" s="29" t="str" cm="1">
        <f t="array" aca="1" ref="G380" ca="1">INDIRECT("mercancia!D"&amp;(INT((ROW()-2)/5)+2))</f>
        <v>900.890.123-8</v>
      </c>
      <c r="H380" s="27" t="str">
        <f>CHOOSE(MOD(75,3)+1,"CC-100 Bodega Central","CC-101 Sucursal Centro","CC-102 Sucursal Itagüí")</f>
        <v>CC-100 Bodega Central</v>
      </c>
      <c r="I380" s="27" t="str">
        <f>"ReteICA Medellín sobre compra "&amp;mercancia!A77</f>
        <v>ReteICA Medellín sobre compra FE-1076</v>
      </c>
      <c r="J380" s="30">
        <f>0</f>
        <v>0</v>
      </c>
      <c r="K380" s="30">
        <f ca="1">mercancia!N77</f>
        <v>334159</v>
      </c>
      <c r="L380" s="31" t="str">
        <f>mercancia!A77</f>
        <v>FE-1076</v>
      </c>
    </row>
    <row r="381" spans="1:12" x14ac:dyDescent="0.35">
      <c r="A381" s="26" t="str">
        <f>"CC-MC-"&amp;TEXT(1075,"0000")</f>
        <v>CC-MC-1075</v>
      </c>
      <c r="B381" s="27" t="str">
        <f>"Causación Compra"</f>
        <v>Causación Compra</v>
      </c>
      <c r="C381" s="28">
        <f ca="1">mercancia!B77</f>
        <v>46085</v>
      </c>
      <c r="D381" s="69" t="str">
        <f>"220505"</f>
        <v>220505</v>
      </c>
      <c r="E381" s="27" t="str">
        <f>"Proveedores nacionales"</f>
        <v>Proveedores nacionales</v>
      </c>
      <c r="F381" s="27" t="str">
        <f ca="1">mercancia!C77</f>
        <v>Tornillería Nacional del Valle de Aburrá</v>
      </c>
      <c r="G381" s="29" t="str" cm="1">
        <f t="array" aca="1" ref="G381" ca="1">INDIRECT("mercancia!D"&amp;(INT((ROW()-2)/5)+2))</f>
        <v>900.890.123-8</v>
      </c>
      <c r="H381" s="27" t="str">
        <f>CHOOSE(MOD(75,3)+1,"CC-100 Bodega Central","CC-101 Sucursal Centro","CC-102 Sucursal Itagüí")</f>
        <v>CC-100 Bodega Central</v>
      </c>
      <c r="I381" s="27" t="str">
        <f>"Cuenta por pagar proveedor - "&amp;mercancia!A77</f>
        <v>Cuenta por pagar proveedor - FE-1076</v>
      </c>
      <c r="J381" s="30">
        <f>0</f>
        <v>0</v>
      </c>
      <c r="K381" s="30">
        <f ca="1">mercancia!O77</f>
        <v>34625381</v>
      </c>
      <c r="L381" s="31" t="str">
        <f>mercancia!A77</f>
        <v>FE-1076</v>
      </c>
    </row>
    <row r="382" spans="1:12" x14ac:dyDescent="0.35">
      <c r="A382" s="20" t="str">
        <f>"CC-MC-"&amp;TEXT(1076,"0000")</f>
        <v>CC-MC-1076</v>
      </c>
      <c r="B382" s="21" t="str">
        <f>"Causación Compra"</f>
        <v>Causación Compra</v>
      </c>
      <c r="C382" s="22">
        <f ca="1">mercancia!B78</f>
        <v>46052</v>
      </c>
      <c r="D382" s="68" t="str">
        <f>"143505"</f>
        <v>143505</v>
      </c>
      <c r="E382" s="21" t="str">
        <f>"Mercancías no fabricadas por la empresa"</f>
        <v>Mercancías no fabricadas por la empresa</v>
      </c>
      <c r="F382" s="21" t="str">
        <f ca="1">mercancia!C78</f>
        <v>Pinturas y Acabados Aburrá S.A.S.</v>
      </c>
      <c r="G382" s="23" t="str" cm="1">
        <f t="array" aca="1" ref="G382" ca="1">INDIRECT("mercancia!D"&amp;(INT((ROW()-2)/5)+2))</f>
        <v>900.789.012-7</v>
      </c>
      <c r="H382" s="21" t="str">
        <f>CHOOSE(MOD(76,3)+1,"CC-100 Bodega Central","CC-101 Sucursal Centro","CC-102 Sucursal Itagüí")</f>
        <v>CC-101 Sucursal Centro</v>
      </c>
      <c r="I382" s="21" t="str">
        <f ca="1">"Compra mercancía - "&amp;mercancia!E78&amp;" - "&amp;mercancia!A78</f>
        <v>Compra mercancía - Distribuciones Itagüí Ferretera Ltda. - FE-1077</v>
      </c>
      <c r="J382" s="24">
        <f ca="1">mercancia!H78</f>
        <v>7029000</v>
      </c>
      <c r="K382" s="24">
        <f>0</f>
        <v>0</v>
      </c>
      <c r="L382" s="25" t="str">
        <f>mercancia!A78</f>
        <v>FE-1077</v>
      </c>
    </row>
    <row r="383" spans="1:12" x14ac:dyDescent="0.35">
      <c r="A383" s="20" t="str">
        <f>"CC-MC-"&amp;TEXT(1076,"0000")</f>
        <v>CC-MC-1076</v>
      </c>
      <c r="B383" s="21" t="str">
        <f>"Causación Compra"</f>
        <v>Causación Compra</v>
      </c>
      <c r="C383" s="22">
        <f ca="1">mercancia!B78</f>
        <v>46052</v>
      </c>
      <c r="D383" s="68" t="str">
        <f>"240805"</f>
        <v>240805</v>
      </c>
      <c r="E383" s="21" t="str">
        <f>"IVA descontable - 19%"</f>
        <v>IVA descontable - 19%</v>
      </c>
      <c r="F383" s="21" t="str">
        <f ca="1">mercancia!C78</f>
        <v>Pinturas y Acabados Aburrá S.A.S.</v>
      </c>
      <c r="G383" s="23" t="str" cm="1">
        <f t="array" aca="1" ref="G383" ca="1">INDIRECT("mercancia!D"&amp;(INT((ROW()-2)/5)+2))</f>
        <v>900.789.012-7</v>
      </c>
      <c r="H383" s="21" t="str">
        <f>CHOOSE(MOD(76,3)+1,"CC-100 Bodega Central","CC-101 Sucursal Centro","CC-102 Sucursal Itagüí")</f>
        <v>CC-101 Sucursal Centro</v>
      </c>
      <c r="I383" s="21" t="str">
        <f>"IVA descontable factura "&amp;mercancia!A78</f>
        <v>IVA descontable factura FE-1077</v>
      </c>
      <c r="J383" s="24">
        <f ca="1">mercancia!I78</f>
        <v>1335510</v>
      </c>
      <c r="K383" s="24">
        <f>0</f>
        <v>0</v>
      </c>
      <c r="L383" s="25" t="str">
        <f>mercancia!A78</f>
        <v>FE-1077</v>
      </c>
    </row>
    <row r="384" spans="1:12" x14ac:dyDescent="0.35">
      <c r="A384" s="20" t="str">
        <f>"CC-MC-"&amp;TEXT(1076,"0000")</f>
        <v>CC-MC-1076</v>
      </c>
      <c r="B384" s="21" t="str">
        <f>"Causación Compra"</f>
        <v>Causación Compra</v>
      </c>
      <c r="C384" s="22">
        <f ca="1">mercancia!B78</f>
        <v>46052</v>
      </c>
      <c r="D384" s="68" t="str">
        <f>"236540"</f>
        <v>236540</v>
      </c>
      <c r="E384" s="21" t="str">
        <f>"Retención en la fuente - Compras"</f>
        <v>Retención en la fuente - Compras</v>
      </c>
      <c r="F384" s="21" t="str">
        <f ca="1">mercancia!C78</f>
        <v>Pinturas y Acabados Aburrá S.A.S.</v>
      </c>
      <c r="G384" s="23" t="str" cm="1">
        <f t="array" aca="1" ref="G384" ca="1">INDIRECT("mercancia!D"&amp;(INT((ROW()-2)/5)+2))</f>
        <v>900.789.012-7</v>
      </c>
      <c r="H384" s="21" t="str">
        <f>CHOOSE(MOD(76,3)+1,"CC-100 Bodega Central","CC-101 Sucursal Centro","CC-102 Sucursal Itagüí")</f>
        <v>CC-101 Sucursal Centro</v>
      </c>
      <c r="I384" s="21" t="str">
        <f ca="1">"ReteFuente "&amp;TEXT(mercancia!K78,"0.0%")&amp;" sobre compra "&amp;mercancia!A78</f>
        <v>ReteFuente 04% sobre compra FE-1077</v>
      </c>
      <c r="J384" s="24">
        <f>0</f>
        <v>0</v>
      </c>
      <c r="K384" s="24">
        <f ca="1">mercancia!L78</f>
        <v>246015</v>
      </c>
      <c r="L384" s="25" t="str">
        <f>mercancia!A78</f>
        <v>FE-1077</v>
      </c>
    </row>
    <row r="385" spans="1:12" x14ac:dyDescent="0.35">
      <c r="A385" s="20" t="str">
        <f>"CC-MC-"&amp;TEXT(1076,"0000")</f>
        <v>CC-MC-1076</v>
      </c>
      <c r="B385" s="21" t="str">
        <f>"Causación Compra"</f>
        <v>Causación Compra</v>
      </c>
      <c r="C385" s="22">
        <f ca="1">mercancia!B78</f>
        <v>46052</v>
      </c>
      <c r="D385" s="68" t="str">
        <f>"236805"</f>
        <v>236805</v>
      </c>
      <c r="E385" s="21" t="str">
        <f>"Retención ICA - Medellín 11.04‰"</f>
        <v>Retención ICA - Medellín 11.04‰</v>
      </c>
      <c r="F385" s="21" t="str">
        <f ca="1">mercancia!C78</f>
        <v>Pinturas y Acabados Aburrá S.A.S.</v>
      </c>
      <c r="G385" s="23" t="str" cm="1">
        <f t="array" aca="1" ref="G385" ca="1">INDIRECT("mercancia!D"&amp;(INT((ROW()-2)/5)+2))</f>
        <v>900.789.012-7</v>
      </c>
      <c r="H385" s="21" t="str">
        <f>CHOOSE(MOD(76,3)+1,"CC-100 Bodega Central","CC-101 Sucursal Centro","CC-102 Sucursal Itagüí")</f>
        <v>CC-101 Sucursal Centro</v>
      </c>
      <c r="I385" s="21" t="str">
        <f>"ReteICA Medellín sobre compra "&amp;mercancia!A78</f>
        <v>ReteICA Medellín sobre compra FE-1077</v>
      </c>
      <c r="J385" s="24">
        <f>0</f>
        <v>0</v>
      </c>
      <c r="K385" s="24">
        <f ca="1">mercancia!N78</f>
        <v>77600</v>
      </c>
      <c r="L385" s="25" t="str">
        <f>mercancia!A78</f>
        <v>FE-1077</v>
      </c>
    </row>
    <row r="386" spans="1:12" x14ac:dyDescent="0.35">
      <c r="A386" s="20" t="str">
        <f>"CC-MC-"&amp;TEXT(1076,"0000")</f>
        <v>CC-MC-1076</v>
      </c>
      <c r="B386" s="21" t="str">
        <f>"Causación Compra"</f>
        <v>Causación Compra</v>
      </c>
      <c r="C386" s="22">
        <f ca="1">mercancia!B78</f>
        <v>46052</v>
      </c>
      <c r="D386" s="68" t="str">
        <f>"220505"</f>
        <v>220505</v>
      </c>
      <c r="E386" s="21" t="str">
        <f>"Proveedores nacionales"</f>
        <v>Proveedores nacionales</v>
      </c>
      <c r="F386" s="21" t="str">
        <f ca="1">mercancia!C78</f>
        <v>Pinturas y Acabados Aburrá S.A.S.</v>
      </c>
      <c r="G386" s="23" t="str" cm="1">
        <f t="array" aca="1" ref="G386" ca="1">INDIRECT("mercancia!D"&amp;(INT((ROW()-2)/5)+2))</f>
        <v>900.789.012-7</v>
      </c>
      <c r="H386" s="21" t="str">
        <f>CHOOSE(MOD(76,3)+1,"CC-100 Bodega Central","CC-101 Sucursal Centro","CC-102 Sucursal Itagüí")</f>
        <v>CC-101 Sucursal Centro</v>
      </c>
      <c r="I386" s="21" t="str">
        <f>"Cuenta por pagar proveedor - "&amp;mercancia!A78</f>
        <v>Cuenta por pagar proveedor - FE-1077</v>
      </c>
      <c r="J386" s="24">
        <f>0</f>
        <v>0</v>
      </c>
      <c r="K386" s="24">
        <f ca="1">mercancia!O78</f>
        <v>8040895</v>
      </c>
      <c r="L386" s="25" t="str">
        <f>mercancia!A78</f>
        <v>FE-1077</v>
      </c>
    </row>
    <row r="387" spans="1:12" x14ac:dyDescent="0.35">
      <c r="A387" s="26" t="str">
        <f>"CC-MC-"&amp;TEXT(1077,"0000")</f>
        <v>CC-MC-1077</v>
      </c>
      <c r="B387" s="27" t="str">
        <f>"Causación Compra"</f>
        <v>Causación Compra</v>
      </c>
      <c r="C387" s="28">
        <f ca="1">mercancia!B79</f>
        <v>46053</v>
      </c>
      <c r="D387" s="69" t="str">
        <f>"143505"</f>
        <v>143505</v>
      </c>
      <c r="E387" s="27" t="str">
        <f>"Mercancías no fabricadas por la empresa"</f>
        <v>Mercancías no fabricadas por la empresa</v>
      </c>
      <c r="F387" s="27" t="str">
        <f ca="1">mercancia!C79</f>
        <v>Aceros de la Montaña S.A.S.</v>
      </c>
      <c r="G387" s="29" t="str" cm="1">
        <f t="array" aca="1" ref="G387" ca="1">INDIRECT("mercancia!D"&amp;(INT((ROW()-2)/5)+2))</f>
        <v>900.123.456-1</v>
      </c>
      <c r="H387" s="27" t="str">
        <f>CHOOSE(MOD(77,3)+1,"CC-100 Bodega Central","CC-101 Sucursal Centro","CC-102 Sucursal Itagüí")</f>
        <v>CC-102 Sucursal Itagüí</v>
      </c>
      <c r="I387" s="27" t="str">
        <f ca="1">"Compra mercancía - "&amp;mercancia!E79&amp;" - "&amp;mercancia!A79</f>
        <v>Compra mercancía - Llave de tubo 14" - FE-1078</v>
      </c>
      <c r="J387" s="30">
        <f ca="1">mercancia!H79</f>
        <v>18640000</v>
      </c>
      <c r="K387" s="30">
        <f>0</f>
        <v>0</v>
      </c>
      <c r="L387" s="31" t="str">
        <f>mercancia!A79</f>
        <v>FE-1078</v>
      </c>
    </row>
    <row r="388" spans="1:12" x14ac:dyDescent="0.35">
      <c r="A388" s="26" t="str">
        <f>"CC-MC-"&amp;TEXT(1077,"0000")</f>
        <v>CC-MC-1077</v>
      </c>
      <c r="B388" s="27" t="str">
        <f>"Causación Compra"</f>
        <v>Causación Compra</v>
      </c>
      <c r="C388" s="28">
        <f ca="1">mercancia!B79</f>
        <v>46053</v>
      </c>
      <c r="D388" s="69" t="str">
        <f>"240805"</f>
        <v>240805</v>
      </c>
      <c r="E388" s="27" t="str">
        <f>"IVA descontable - 19%"</f>
        <v>IVA descontable - 19%</v>
      </c>
      <c r="F388" s="27" t="str">
        <f ca="1">mercancia!C79</f>
        <v>Aceros de la Montaña S.A.S.</v>
      </c>
      <c r="G388" s="29" t="str" cm="1">
        <f t="array" aca="1" ref="G388" ca="1">INDIRECT("mercancia!D"&amp;(INT((ROW()-2)/5)+2))</f>
        <v>900.123.456-1</v>
      </c>
      <c r="H388" s="27" t="str">
        <f>CHOOSE(MOD(77,3)+1,"CC-100 Bodega Central","CC-101 Sucursal Centro","CC-102 Sucursal Itagüí")</f>
        <v>CC-102 Sucursal Itagüí</v>
      </c>
      <c r="I388" s="27" t="str">
        <f>"IVA descontable factura "&amp;mercancia!A79</f>
        <v>IVA descontable factura FE-1078</v>
      </c>
      <c r="J388" s="30">
        <f ca="1">mercancia!I79</f>
        <v>3541600</v>
      </c>
      <c r="K388" s="30">
        <f>0</f>
        <v>0</v>
      </c>
      <c r="L388" s="31" t="str">
        <f>mercancia!A79</f>
        <v>FE-1078</v>
      </c>
    </row>
    <row r="389" spans="1:12" x14ac:dyDescent="0.35">
      <c r="A389" s="26" t="str">
        <f>"CC-MC-"&amp;TEXT(1077,"0000")</f>
        <v>CC-MC-1077</v>
      </c>
      <c r="B389" s="27" t="str">
        <f>"Causación Compra"</f>
        <v>Causación Compra</v>
      </c>
      <c r="C389" s="28">
        <f ca="1">mercancia!B79</f>
        <v>46053</v>
      </c>
      <c r="D389" s="69" t="str">
        <f>"236540"</f>
        <v>236540</v>
      </c>
      <c r="E389" s="27" t="str">
        <f>"Retención en la fuente - Compras"</f>
        <v>Retención en la fuente - Compras</v>
      </c>
      <c r="F389" s="27" t="str">
        <f ca="1">mercancia!C79</f>
        <v>Aceros de la Montaña S.A.S.</v>
      </c>
      <c r="G389" s="29" t="str" cm="1">
        <f t="array" aca="1" ref="G389" ca="1">INDIRECT("mercancia!D"&amp;(INT((ROW()-2)/5)+2))</f>
        <v>900.123.456-1</v>
      </c>
      <c r="H389" s="27" t="str">
        <f>CHOOSE(MOD(77,3)+1,"CC-100 Bodega Central","CC-101 Sucursal Centro","CC-102 Sucursal Itagüí")</f>
        <v>CC-102 Sucursal Itagüí</v>
      </c>
      <c r="I389" s="27" t="str">
        <f ca="1">"ReteFuente "&amp;TEXT(mercancia!K79,"0.0%")&amp;" sobre compra "&amp;mercancia!A79</f>
        <v>ReteFuente 04% sobre compra FE-1078</v>
      </c>
      <c r="J389" s="30">
        <f>0</f>
        <v>0</v>
      </c>
      <c r="K389" s="30">
        <f ca="1">mercancia!L79</f>
        <v>652400</v>
      </c>
      <c r="L389" s="31" t="str">
        <f>mercancia!A79</f>
        <v>FE-1078</v>
      </c>
    </row>
    <row r="390" spans="1:12" x14ac:dyDescent="0.35">
      <c r="A390" s="26" t="str">
        <f>"CC-MC-"&amp;TEXT(1077,"0000")</f>
        <v>CC-MC-1077</v>
      </c>
      <c r="B390" s="27" t="str">
        <f>"Causación Compra"</f>
        <v>Causación Compra</v>
      </c>
      <c r="C390" s="28">
        <f ca="1">mercancia!B79</f>
        <v>46053</v>
      </c>
      <c r="D390" s="69" t="str">
        <f>"236805"</f>
        <v>236805</v>
      </c>
      <c r="E390" s="27" t="str">
        <f>"Retención ICA - Medellín 11.04‰"</f>
        <v>Retención ICA - Medellín 11.04‰</v>
      </c>
      <c r="F390" s="27" t="str">
        <f ca="1">mercancia!C79</f>
        <v>Aceros de la Montaña S.A.S.</v>
      </c>
      <c r="G390" s="29" t="str" cm="1">
        <f t="array" aca="1" ref="G390" ca="1">INDIRECT("mercancia!D"&amp;(INT((ROW()-2)/5)+2))</f>
        <v>900.123.456-1</v>
      </c>
      <c r="H390" s="27" t="str">
        <f>CHOOSE(MOD(77,3)+1,"CC-100 Bodega Central","CC-101 Sucursal Centro","CC-102 Sucursal Itagüí")</f>
        <v>CC-102 Sucursal Itagüí</v>
      </c>
      <c r="I390" s="27" t="str">
        <f>"ReteICA Medellín sobre compra "&amp;mercancia!A79</f>
        <v>ReteICA Medellín sobre compra FE-1078</v>
      </c>
      <c r="J390" s="30">
        <f>0</f>
        <v>0</v>
      </c>
      <c r="K390" s="30">
        <f ca="1">mercancia!N79</f>
        <v>205786</v>
      </c>
      <c r="L390" s="31" t="str">
        <f>mercancia!A79</f>
        <v>FE-1078</v>
      </c>
    </row>
    <row r="391" spans="1:12" x14ac:dyDescent="0.35">
      <c r="A391" s="26" t="str">
        <f>"CC-MC-"&amp;TEXT(1077,"0000")</f>
        <v>CC-MC-1077</v>
      </c>
      <c r="B391" s="27" t="str">
        <f>"Causación Compra"</f>
        <v>Causación Compra</v>
      </c>
      <c r="C391" s="28">
        <f ca="1">mercancia!B79</f>
        <v>46053</v>
      </c>
      <c r="D391" s="69" t="str">
        <f>"220505"</f>
        <v>220505</v>
      </c>
      <c r="E391" s="27" t="str">
        <f>"Proveedores nacionales"</f>
        <v>Proveedores nacionales</v>
      </c>
      <c r="F391" s="27" t="str">
        <f ca="1">mercancia!C79</f>
        <v>Aceros de la Montaña S.A.S.</v>
      </c>
      <c r="G391" s="29" t="str" cm="1">
        <f t="array" aca="1" ref="G391" ca="1">INDIRECT("mercancia!D"&amp;(INT((ROW()-2)/5)+2))</f>
        <v>900.123.456-1</v>
      </c>
      <c r="H391" s="27" t="str">
        <f>CHOOSE(MOD(77,3)+1,"CC-100 Bodega Central","CC-101 Sucursal Centro","CC-102 Sucursal Itagüí")</f>
        <v>CC-102 Sucursal Itagüí</v>
      </c>
      <c r="I391" s="27" t="str">
        <f>"Cuenta por pagar proveedor - "&amp;mercancia!A79</f>
        <v>Cuenta por pagar proveedor - FE-1078</v>
      </c>
      <c r="J391" s="30">
        <f>0</f>
        <v>0</v>
      </c>
      <c r="K391" s="30">
        <f ca="1">mercancia!O79</f>
        <v>21323414</v>
      </c>
      <c r="L391" s="31" t="str">
        <f>mercancia!A79</f>
        <v>FE-1078</v>
      </c>
    </row>
    <row r="392" spans="1:12" x14ac:dyDescent="0.35">
      <c r="A392" s="20" t="str">
        <f>"CC-MC-"&amp;TEXT(1078,"0000")</f>
        <v>CC-MC-1078</v>
      </c>
      <c r="B392" s="21" t="str">
        <f>"Causación Compra"</f>
        <v>Causación Compra</v>
      </c>
      <c r="C392" s="22">
        <f ca="1">mercancia!B80</f>
        <v>46080</v>
      </c>
      <c r="D392" s="68" t="str">
        <f>"143505"</f>
        <v>143505</v>
      </c>
      <c r="E392" s="21" t="str">
        <f>"Mercancías no fabricadas por la empresa"</f>
        <v>Mercancías no fabricadas por la empresa</v>
      </c>
      <c r="F392" s="21" t="str">
        <f ca="1">mercancia!C80</f>
        <v>Tornillería Nacional del Valle de Aburrá</v>
      </c>
      <c r="G392" s="23" t="str" cm="1">
        <f t="array" aca="1" ref="G392" ca="1">INDIRECT("mercancia!D"&amp;(INT((ROW()-2)/5)+2))</f>
        <v>900.890.123-8</v>
      </c>
      <c r="H392" s="21" t="str">
        <f>CHOOSE(MOD(78,3)+1,"CC-100 Bodega Central","CC-101 Sucursal Centro","CC-102 Sucursal Itagüí")</f>
        <v>CC-100 Bodega Central</v>
      </c>
      <c r="I392" s="21" t="str">
        <f ca="1">"Compra mercancía - "&amp;mercancia!E80&amp;" - "&amp;mercancia!A80</f>
        <v>Compra mercancía - Herramientas Industriales Medellín S.A.S. - FE-1079</v>
      </c>
      <c r="J392" s="24">
        <f ca="1">mercancia!H80</f>
        <v>346500</v>
      </c>
      <c r="K392" s="24">
        <f>0</f>
        <v>0</v>
      </c>
      <c r="L392" s="25" t="str">
        <f>mercancia!A80</f>
        <v>FE-1079</v>
      </c>
    </row>
    <row r="393" spans="1:12" x14ac:dyDescent="0.35">
      <c r="A393" s="20" t="str">
        <f>"CC-MC-"&amp;TEXT(1078,"0000")</f>
        <v>CC-MC-1078</v>
      </c>
      <c r="B393" s="21" t="str">
        <f>"Causación Compra"</f>
        <v>Causación Compra</v>
      </c>
      <c r="C393" s="22">
        <f ca="1">mercancia!B80</f>
        <v>46080</v>
      </c>
      <c r="D393" s="68" t="str">
        <f>"240805"</f>
        <v>240805</v>
      </c>
      <c r="E393" s="21" t="str">
        <f>"IVA descontable - 19%"</f>
        <v>IVA descontable - 19%</v>
      </c>
      <c r="F393" s="21" t="str">
        <f ca="1">mercancia!C80</f>
        <v>Tornillería Nacional del Valle de Aburrá</v>
      </c>
      <c r="G393" s="23" t="str" cm="1">
        <f t="array" aca="1" ref="G393" ca="1">INDIRECT("mercancia!D"&amp;(INT((ROW()-2)/5)+2))</f>
        <v>900.890.123-8</v>
      </c>
      <c r="H393" s="21" t="str">
        <f>CHOOSE(MOD(78,3)+1,"CC-100 Bodega Central","CC-101 Sucursal Centro","CC-102 Sucursal Itagüí")</f>
        <v>CC-100 Bodega Central</v>
      </c>
      <c r="I393" s="21" t="str">
        <f>"IVA descontable factura "&amp;mercancia!A80</f>
        <v>IVA descontable factura FE-1079</v>
      </c>
      <c r="J393" s="24">
        <f ca="1">mercancia!I80</f>
        <v>65835</v>
      </c>
      <c r="K393" s="24">
        <f>0</f>
        <v>0</v>
      </c>
      <c r="L393" s="25" t="str">
        <f>mercancia!A80</f>
        <v>FE-1079</v>
      </c>
    </row>
    <row r="394" spans="1:12" x14ac:dyDescent="0.35">
      <c r="A394" s="20" t="str">
        <f>"CC-MC-"&amp;TEXT(1078,"0000")</f>
        <v>CC-MC-1078</v>
      </c>
      <c r="B394" s="21" t="str">
        <f>"Causación Compra"</f>
        <v>Causación Compra</v>
      </c>
      <c r="C394" s="22">
        <f ca="1">mercancia!B80</f>
        <v>46080</v>
      </c>
      <c r="D394" s="68" t="str">
        <f>"236540"</f>
        <v>236540</v>
      </c>
      <c r="E394" s="21" t="str">
        <f>"Retención en la fuente - Compras"</f>
        <v>Retención en la fuente - Compras</v>
      </c>
      <c r="F394" s="21" t="str">
        <f ca="1">mercancia!C80</f>
        <v>Tornillería Nacional del Valle de Aburrá</v>
      </c>
      <c r="G394" s="23" t="str" cm="1">
        <f t="array" aca="1" ref="G394" ca="1">INDIRECT("mercancia!D"&amp;(INT((ROW()-2)/5)+2))</f>
        <v>900.890.123-8</v>
      </c>
      <c r="H394" s="21" t="str">
        <f>CHOOSE(MOD(78,3)+1,"CC-100 Bodega Central","CC-101 Sucursal Centro","CC-102 Sucursal Itagüí")</f>
        <v>CC-100 Bodega Central</v>
      </c>
      <c r="I394" s="21" t="str">
        <f ca="1">"ReteFuente "&amp;TEXT(mercancia!K80,"0.0%")&amp;" sobre compra "&amp;mercancia!A80</f>
        <v>ReteFuente 04% sobre compra FE-1079</v>
      </c>
      <c r="J394" s="24">
        <f>0</f>
        <v>0</v>
      </c>
      <c r="K394" s="24">
        <f ca="1">mercancia!L80</f>
        <v>12128</v>
      </c>
      <c r="L394" s="25" t="str">
        <f>mercancia!A80</f>
        <v>FE-1079</v>
      </c>
    </row>
    <row r="395" spans="1:12" x14ac:dyDescent="0.35">
      <c r="A395" s="20" t="str">
        <f>"CC-MC-"&amp;TEXT(1078,"0000")</f>
        <v>CC-MC-1078</v>
      </c>
      <c r="B395" s="21" t="str">
        <f>"Causación Compra"</f>
        <v>Causación Compra</v>
      </c>
      <c r="C395" s="22">
        <f ca="1">mercancia!B80</f>
        <v>46080</v>
      </c>
      <c r="D395" s="68" t="str">
        <f>"236805"</f>
        <v>236805</v>
      </c>
      <c r="E395" s="21" t="str">
        <f>"Retención ICA - Medellín 11.04‰"</f>
        <v>Retención ICA - Medellín 11.04‰</v>
      </c>
      <c r="F395" s="21" t="str">
        <f ca="1">mercancia!C80</f>
        <v>Tornillería Nacional del Valle de Aburrá</v>
      </c>
      <c r="G395" s="23" t="str" cm="1">
        <f t="array" aca="1" ref="G395" ca="1">INDIRECT("mercancia!D"&amp;(INT((ROW()-2)/5)+2))</f>
        <v>900.890.123-8</v>
      </c>
      <c r="H395" s="21" t="str">
        <f>CHOOSE(MOD(78,3)+1,"CC-100 Bodega Central","CC-101 Sucursal Centro","CC-102 Sucursal Itagüí")</f>
        <v>CC-100 Bodega Central</v>
      </c>
      <c r="I395" s="21" t="str">
        <f>"ReteICA Medellín sobre compra "&amp;mercancia!A80</f>
        <v>ReteICA Medellín sobre compra FE-1079</v>
      </c>
      <c r="J395" s="24">
        <f>0</f>
        <v>0</v>
      </c>
      <c r="K395" s="24">
        <f ca="1">mercancia!N80</f>
        <v>3825</v>
      </c>
      <c r="L395" s="25" t="str">
        <f>mercancia!A80</f>
        <v>FE-1079</v>
      </c>
    </row>
    <row r="396" spans="1:12" x14ac:dyDescent="0.35">
      <c r="A396" s="20" t="str">
        <f>"CC-MC-"&amp;TEXT(1078,"0000")</f>
        <v>CC-MC-1078</v>
      </c>
      <c r="B396" s="21" t="str">
        <f>"Causación Compra"</f>
        <v>Causación Compra</v>
      </c>
      <c r="C396" s="22">
        <f ca="1">mercancia!B80</f>
        <v>46080</v>
      </c>
      <c r="D396" s="68" t="str">
        <f>"220505"</f>
        <v>220505</v>
      </c>
      <c r="E396" s="21" t="str">
        <f>"Proveedores nacionales"</f>
        <v>Proveedores nacionales</v>
      </c>
      <c r="F396" s="21" t="str">
        <f ca="1">mercancia!C80</f>
        <v>Tornillería Nacional del Valle de Aburrá</v>
      </c>
      <c r="G396" s="23" t="str" cm="1">
        <f t="array" aca="1" ref="G396" ca="1">INDIRECT("mercancia!D"&amp;(INT((ROW()-2)/5)+2))</f>
        <v>900.890.123-8</v>
      </c>
      <c r="H396" s="21" t="str">
        <f>CHOOSE(MOD(78,3)+1,"CC-100 Bodega Central","CC-101 Sucursal Centro","CC-102 Sucursal Itagüí")</f>
        <v>CC-100 Bodega Central</v>
      </c>
      <c r="I396" s="21" t="str">
        <f>"Cuenta por pagar proveedor - "&amp;mercancia!A80</f>
        <v>Cuenta por pagar proveedor - FE-1079</v>
      </c>
      <c r="J396" s="24">
        <f>0</f>
        <v>0</v>
      </c>
      <c r="K396" s="24">
        <f ca="1">mercancia!O80</f>
        <v>396382</v>
      </c>
      <c r="L396" s="25" t="str">
        <f>mercancia!A80</f>
        <v>FE-1079</v>
      </c>
    </row>
    <row r="397" spans="1:12" x14ac:dyDescent="0.35">
      <c r="A397" s="26" t="str">
        <f>"CC-MC-"&amp;TEXT(1079,"0000")</f>
        <v>CC-MC-1079</v>
      </c>
      <c r="B397" s="27" t="str">
        <f>"Causación Compra"</f>
        <v>Causación Compra</v>
      </c>
      <c r="C397" s="28">
        <f ca="1">mercancia!B81</f>
        <v>46096</v>
      </c>
      <c r="D397" s="69" t="str">
        <f>"143505"</f>
        <v>143505</v>
      </c>
      <c r="E397" s="27" t="str">
        <f>"Mercancías no fabricadas por la empresa"</f>
        <v>Mercancías no fabricadas por la empresa</v>
      </c>
      <c r="F397" s="27" t="str">
        <f ca="1">mercancia!C81</f>
        <v>Distribuidora El Martillo de Oro S.A.S.</v>
      </c>
      <c r="G397" s="29" t="str" cm="1">
        <f t="array" aca="1" ref="G397" ca="1">INDIRECT("mercancia!D"&amp;(INT((ROW()-2)/5)+2))</f>
        <v>900.345.678-3</v>
      </c>
      <c r="H397" s="27" t="str">
        <f>CHOOSE(MOD(79,3)+1,"CC-100 Bodega Central","CC-101 Sucursal Centro","CC-102 Sucursal Itagüí")</f>
        <v>CC-101 Sucursal Centro</v>
      </c>
      <c r="I397" s="27" t="str">
        <f ca="1">"Compra mercancía - "&amp;mercancia!E81&amp;" - "&amp;mercancia!A81</f>
        <v>Compra mercancía - Herramientas Industriales Medellín S.A.S. - FE-1080</v>
      </c>
      <c r="J397" s="30">
        <f ca="1">mercancia!H81</f>
        <v>21022400</v>
      </c>
      <c r="K397" s="30">
        <f>0</f>
        <v>0</v>
      </c>
      <c r="L397" s="31" t="str">
        <f>mercancia!A81</f>
        <v>FE-1080</v>
      </c>
    </row>
    <row r="398" spans="1:12" x14ac:dyDescent="0.35">
      <c r="A398" s="26" t="str">
        <f>"CC-MC-"&amp;TEXT(1079,"0000")</f>
        <v>CC-MC-1079</v>
      </c>
      <c r="B398" s="27" t="str">
        <f>"Causación Compra"</f>
        <v>Causación Compra</v>
      </c>
      <c r="C398" s="28">
        <f ca="1">mercancia!B81</f>
        <v>46096</v>
      </c>
      <c r="D398" s="69" t="str">
        <f>"240805"</f>
        <v>240805</v>
      </c>
      <c r="E398" s="27" t="str">
        <f>"IVA descontable - 19%"</f>
        <v>IVA descontable - 19%</v>
      </c>
      <c r="F398" s="27" t="str">
        <f ca="1">mercancia!C81</f>
        <v>Distribuidora El Martillo de Oro S.A.S.</v>
      </c>
      <c r="G398" s="29" t="str" cm="1">
        <f t="array" aca="1" ref="G398" ca="1">INDIRECT("mercancia!D"&amp;(INT((ROW()-2)/5)+2))</f>
        <v>900.345.678-3</v>
      </c>
      <c r="H398" s="27" t="str">
        <f>CHOOSE(MOD(79,3)+1,"CC-100 Bodega Central","CC-101 Sucursal Centro","CC-102 Sucursal Itagüí")</f>
        <v>CC-101 Sucursal Centro</v>
      </c>
      <c r="I398" s="27" t="str">
        <f>"IVA descontable factura "&amp;mercancia!A81</f>
        <v>IVA descontable factura FE-1080</v>
      </c>
      <c r="J398" s="30">
        <f ca="1">mercancia!I81</f>
        <v>3994256</v>
      </c>
      <c r="K398" s="30">
        <f>0</f>
        <v>0</v>
      </c>
      <c r="L398" s="31" t="str">
        <f>mercancia!A81</f>
        <v>FE-1080</v>
      </c>
    </row>
    <row r="399" spans="1:12" x14ac:dyDescent="0.35">
      <c r="A399" s="26" t="str">
        <f>"CC-MC-"&amp;TEXT(1079,"0000")</f>
        <v>CC-MC-1079</v>
      </c>
      <c r="B399" s="27" t="str">
        <f>"Causación Compra"</f>
        <v>Causación Compra</v>
      </c>
      <c r="C399" s="28">
        <f ca="1">mercancia!B81</f>
        <v>46096</v>
      </c>
      <c r="D399" s="69" t="str">
        <f>"236540"</f>
        <v>236540</v>
      </c>
      <c r="E399" s="27" t="str">
        <f>"Retención en la fuente - Compras"</f>
        <v>Retención en la fuente - Compras</v>
      </c>
      <c r="F399" s="27" t="str">
        <f ca="1">mercancia!C81</f>
        <v>Distribuidora El Martillo de Oro S.A.S.</v>
      </c>
      <c r="G399" s="29" t="str" cm="1">
        <f t="array" aca="1" ref="G399" ca="1">INDIRECT("mercancia!D"&amp;(INT((ROW()-2)/5)+2))</f>
        <v>900.345.678-3</v>
      </c>
      <c r="H399" s="27" t="str">
        <f>CHOOSE(MOD(79,3)+1,"CC-100 Bodega Central","CC-101 Sucursal Centro","CC-102 Sucursal Itagüí")</f>
        <v>CC-101 Sucursal Centro</v>
      </c>
      <c r="I399" s="27" t="str">
        <f ca="1">"ReteFuente "&amp;TEXT(mercancia!K81,"0.0%")&amp;" sobre compra "&amp;mercancia!A81</f>
        <v>ReteFuente 03% sobre compra FE-1080</v>
      </c>
      <c r="J399" s="30">
        <f>0</f>
        <v>0</v>
      </c>
      <c r="K399" s="30">
        <f ca="1">mercancia!L81</f>
        <v>525560</v>
      </c>
      <c r="L399" s="31" t="str">
        <f>mercancia!A81</f>
        <v>FE-1080</v>
      </c>
    </row>
    <row r="400" spans="1:12" x14ac:dyDescent="0.35">
      <c r="A400" s="26" t="str">
        <f>"CC-MC-"&amp;TEXT(1079,"0000")</f>
        <v>CC-MC-1079</v>
      </c>
      <c r="B400" s="27" t="str">
        <f>"Causación Compra"</f>
        <v>Causación Compra</v>
      </c>
      <c r="C400" s="28">
        <f ca="1">mercancia!B81</f>
        <v>46096</v>
      </c>
      <c r="D400" s="69" t="str">
        <f>"236805"</f>
        <v>236805</v>
      </c>
      <c r="E400" s="27" t="str">
        <f>"Retención ICA - Medellín 11.04‰"</f>
        <v>Retención ICA - Medellín 11.04‰</v>
      </c>
      <c r="F400" s="27" t="str">
        <f ca="1">mercancia!C81</f>
        <v>Distribuidora El Martillo de Oro S.A.S.</v>
      </c>
      <c r="G400" s="29" t="str" cm="1">
        <f t="array" aca="1" ref="G400" ca="1">INDIRECT("mercancia!D"&amp;(INT((ROW()-2)/5)+2))</f>
        <v>900.345.678-3</v>
      </c>
      <c r="H400" s="27" t="str">
        <f>CHOOSE(MOD(79,3)+1,"CC-100 Bodega Central","CC-101 Sucursal Centro","CC-102 Sucursal Itagüí")</f>
        <v>CC-101 Sucursal Centro</v>
      </c>
      <c r="I400" s="27" t="str">
        <f>"ReteICA Medellín sobre compra "&amp;mercancia!A81</f>
        <v>ReteICA Medellín sobre compra FE-1080</v>
      </c>
      <c r="J400" s="30">
        <f>0</f>
        <v>0</v>
      </c>
      <c r="K400" s="30">
        <f ca="1">mercancia!N81</f>
        <v>232087</v>
      </c>
      <c r="L400" s="31" t="str">
        <f>mercancia!A81</f>
        <v>FE-1080</v>
      </c>
    </row>
    <row r="401" spans="1:12" x14ac:dyDescent="0.35">
      <c r="A401" s="26" t="str">
        <f>"CC-MC-"&amp;TEXT(1079,"0000")</f>
        <v>CC-MC-1079</v>
      </c>
      <c r="B401" s="27" t="str">
        <f>"Causación Compra"</f>
        <v>Causación Compra</v>
      </c>
      <c r="C401" s="28">
        <f ca="1">mercancia!B81</f>
        <v>46096</v>
      </c>
      <c r="D401" s="69" t="str">
        <f>"220505"</f>
        <v>220505</v>
      </c>
      <c r="E401" s="27" t="str">
        <f>"Proveedores nacionales"</f>
        <v>Proveedores nacionales</v>
      </c>
      <c r="F401" s="27" t="str">
        <f ca="1">mercancia!C81</f>
        <v>Distribuidora El Martillo de Oro S.A.S.</v>
      </c>
      <c r="G401" s="29" t="str" cm="1">
        <f t="array" aca="1" ref="G401" ca="1">INDIRECT("mercancia!D"&amp;(INT((ROW()-2)/5)+2))</f>
        <v>900.345.678-3</v>
      </c>
      <c r="H401" s="27" t="str">
        <f>CHOOSE(MOD(79,3)+1,"CC-100 Bodega Central","CC-101 Sucursal Centro","CC-102 Sucursal Itagüí")</f>
        <v>CC-101 Sucursal Centro</v>
      </c>
      <c r="I401" s="27" t="str">
        <f>"Cuenta por pagar proveedor - "&amp;mercancia!A81</f>
        <v>Cuenta por pagar proveedor - FE-1080</v>
      </c>
      <c r="J401" s="30">
        <f>0</f>
        <v>0</v>
      </c>
      <c r="K401" s="30">
        <f ca="1">mercancia!O81</f>
        <v>24259009</v>
      </c>
      <c r="L401" s="31" t="str">
        <f>mercancia!A81</f>
        <v>FE-1080</v>
      </c>
    </row>
    <row r="402" spans="1:12" x14ac:dyDescent="0.35">
      <c r="A402" s="20" t="str">
        <f>"CC-MC-"&amp;TEXT(1080,"0000")</f>
        <v>CC-MC-1080</v>
      </c>
      <c r="B402" s="21" t="str">
        <f>"Causación Compra"</f>
        <v>Causación Compra</v>
      </c>
      <c r="C402" s="22">
        <f ca="1">mercancia!B82</f>
        <v>46077</v>
      </c>
      <c r="D402" s="68" t="str">
        <f>"143505"</f>
        <v>143505</v>
      </c>
      <c r="E402" s="21" t="str">
        <f>"Mercancías no fabricadas por la empresa"</f>
        <v>Mercancías no fabricadas por la empresa</v>
      </c>
      <c r="F402" s="21" t="str">
        <f ca="1">mercancia!C82</f>
        <v>Cementos y Materiales Paisa S.A.</v>
      </c>
      <c r="G402" s="23" t="str" cm="1">
        <f t="array" aca="1" ref="G402" ca="1">INDIRECT("mercancia!D"&amp;(INT((ROW()-2)/5)+2))</f>
        <v>900.456.789-4</v>
      </c>
      <c r="H402" s="21" t="str">
        <f>CHOOSE(MOD(80,3)+1,"CC-100 Bodega Central","CC-101 Sucursal Centro","CC-102 Sucursal Itagüí")</f>
        <v>CC-102 Sucursal Itagüí</v>
      </c>
      <c r="I402" s="21" t="str">
        <f ca="1">"Compra mercancía - "&amp;mercancia!E82&amp;" - "&amp;mercancia!A82</f>
        <v>Compra mercancía - Destornillador de pala 1/4" - FE-1081</v>
      </c>
      <c r="J402" s="24">
        <f ca="1">mercancia!H82</f>
        <v>17061400</v>
      </c>
      <c r="K402" s="24">
        <f>0</f>
        <v>0</v>
      </c>
      <c r="L402" s="25" t="str">
        <f>mercancia!A82</f>
        <v>FE-1081</v>
      </c>
    </row>
    <row r="403" spans="1:12" x14ac:dyDescent="0.35">
      <c r="A403" s="20" t="str">
        <f>"CC-MC-"&amp;TEXT(1080,"0000")</f>
        <v>CC-MC-1080</v>
      </c>
      <c r="B403" s="21" t="str">
        <f>"Causación Compra"</f>
        <v>Causación Compra</v>
      </c>
      <c r="C403" s="22">
        <f ca="1">mercancia!B82</f>
        <v>46077</v>
      </c>
      <c r="D403" s="68" t="str">
        <f>"240805"</f>
        <v>240805</v>
      </c>
      <c r="E403" s="21" t="str">
        <f>"IVA descontable - 19%"</f>
        <v>IVA descontable - 19%</v>
      </c>
      <c r="F403" s="21" t="str">
        <f ca="1">mercancia!C82</f>
        <v>Cementos y Materiales Paisa S.A.</v>
      </c>
      <c r="G403" s="23" t="str" cm="1">
        <f t="array" aca="1" ref="G403" ca="1">INDIRECT("mercancia!D"&amp;(INT((ROW()-2)/5)+2))</f>
        <v>900.456.789-4</v>
      </c>
      <c r="H403" s="21" t="str">
        <f>CHOOSE(MOD(80,3)+1,"CC-100 Bodega Central","CC-101 Sucursal Centro","CC-102 Sucursal Itagüí")</f>
        <v>CC-102 Sucursal Itagüí</v>
      </c>
      <c r="I403" s="21" t="str">
        <f>"IVA descontable factura "&amp;mercancia!A82</f>
        <v>IVA descontable factura FE-1081</v>
      </c>
      <c r="J403" s="24">
        <f ca="1">mercancia!I82</f>
        <v>3241666</v>
      </c>
      <c r="K403" s="24">
        <f>0</f>
        <v>0</v>
      </c>
      <c r="L403" s="25" t="str">
        <f>mercancia!A82</f>
        <v>FE-1081</v>
      </c>
    </row>
    <row r="404" spans="1:12" x14ac:dyDescent="0.35">
      <c r="A404" s="20" t="str">
        <f>"CC-MC-"&amp;TEXT(1080,"0000")</f>
        <v>CC-MC-1080</v>
      </c>
      <c r="B404" s="21" t="str">
        <f>"Causación Compra"</f>
        <v>Causación Compra</v>
      </c>
      <c r="C404" s="22">
        <f ca="1">mercancia!B82</f>
        <v>46077</v>
      </c>
      <c r="D404" s="68" t="str">
        <f>"236540"</f>
        <v>236540</v>
      </c>
      <c r="E404" s="21" t="str">
        <f>"Retención en la fuente - Compras"</f>
        <v>Retención en la fuente - Compras</v>
      </c>
      <c r="F404" s="21" t="str">
        <f ca="1">mercancia!C82</f>
        <v>Cementos y Materiales Paisa S.A.</v>
      </c>
      <c r="G404" s="23" t="str" cm="1">
        <f t="array" aca="1" ref="G404" ca="1">INDIRECT("mercancia!D"&amp;(INT((ROW()-2)/5)+2))</f>
        <v>900.456.789-4</v>
      </c>
      <c r="H404" s="21" t="str">
        <f>CHOOSE(MOD(80,3)+1,"CC-100 Bodega Central","CC-101 Sucursal Centro","CC-102 Sucursal Itagüí")</f>
        <v>CC-102 Sucursal Itagüí</v>
      </c>
      <c r="I404" s="21" t="str">
        <f ca="1">"ReteFuente "&amp;TEXT(mercancia!K82,"0.0%")&amp;" sobre compra "&amp;mercancia!A82</f>
        <v>ReteFuente 03% sobre compra FE-1081</v>
      </c>
      <c r="J404" s="24">
        <f>0</f>
        <v>0</v>
      </c>
      <c r="K404" s="24">
        <f ca="1">mercancia!L82</f>
        <v>426535</v>
      </c>
      <c r="L404" s="25" t="str">
        <f>mercancia!A82</f>
        <v>FE-1081</v>
      </c>
    </row>
    <row r="405" spans="1:12" x14ac:dyDescent="0.35">
      <c r="A405" s="20" t="str">
        <f>"CC-MC-"&amp;TEXT(1080,"0000")</f>
        <v>CC-MC-1080</v>
      </c>
      <c r="B405" s="21" t="str">
        <f>"Causación Compra"</f>
        <v>Causación Compra</v>
      </c>
      <c r="C405" s="22">
        <f ca="1">mercancia!B82</f>
        <v>46077</v>
      </c>
      <c r="D405" s="68" t="str">
        <f>"236805"</f>
        <v>236805</v>
      </c>
      <c r="E405" s="21" t="str">
        <f>"Retención ICA - Medellín 11.04‰"</f>
        <v>Retención ICA - Medellín 11.04‰</v>
      </c>
      <c r="F405" s="21" t="str">
        <f ca="1">mercancia!C82</f>
        <v>Cementos y Materiales Paisa S.A.</v>
      </c>
      <c r="G405" s="23" t="str" cm="1">
        <f t="array" aca="1" ref="G405" ca="1">INDIRECT("mercancia!D"&amp;(INT((ROW()-2)/5)+2))</f>
        <v>900.456.789-4</v>
      </c>
      <c r="H405" s="21" t="str">
        <f>CHOOSE(MOD(80,3)+1,"CC-100 Bodega Central","CC-101 Sucursal Centro","CC-102 Sucursal Itagüí")</f>
        <v>CC-102 Sucursal Itagüí</v>
      </c>
      <c r="I405" s="21" t="str">
        <f>"ReteICA Medellín sobre compra "&amp;mercancia!A82</f>
        <v>ReteICA Medellín sobre compra FE-1081</v>
      </c>
      <c r="J405" s="24">
        <f>0</f>
        <v>0</v>
      </c>
      <c r="K405" s="24">
        <f ca="1">mercancia!N82</f>
        <v>188358</v>
      </c>
      <c r="L405" s="25" t="str">
        <f>mercancia!A82</f>
        <v>FE-1081</v>
      </c>
    </row>
    <row r="406" spans="1:12" x14ac:dyDescent="0.35">
      <c r="A406" s="20" t="str">
        <f>"CC-MC-"&amp;TEXT(1080,"0000")</f>
        <v>CC-MC-1080</v>
      </c>
      <c r="B406" s="21" t="str">
        <f>"Causación Compra"</f>
        <v>Causación Compra</v>
      </c>
      <c r="C406" s="22">
        <f ca="1">mercancia!B82</f>
        <v>46077</v>
      </c>
      <c r="D406" s="68" t="str">
        <f>"220505"</f>
        <v>220505</v>
      </c>
      <c r="E406" s="21" t="str">
        <f>"Proveedores nacionales"</f>
        <v>Proveedores nacionales</v>
      </c>
      <c r="F406" s="21" t="str">
        <f ca="1">mercancia!C82</f>
        <v>Cementos y Materiales Paisa S.A.</v>
      </c>
      <c r="G406" s="23" t="str" cm="1">
        <f t="array" aca="1" ref="G406" ca="1">INDIRECT("mercancia!D"&amp;(INT((ROW()-2)/5)+2))</f>
        <v>900.456.789-4</v>
      </c>
      <c r="H406" s="21" t="str">
        <f>CHOOSE(MOD(80,3)+1,"CC-100 Bodega Central","CC-101 Sucursal Centro","CC-102 Sucursal Itagüí")</f>
        <v>CC-102 Sucursal Itagüí</v>
      </c>
      <c r="I406" s="21" t="str">
        <f>"Cuenta por pagar proveedor - "&amp;mercancia!A82</f>
        <v>Cuenta por pagar proveedor - FE-1081</v>
      </c>
      <c r="J406" s="24">
        <f>0</f>
        <v>0</v>
      </c>
      <c r="K406" s="24">
        <f ca="1">mercancia!O82</f>
        <v>19688173</v>
      </c>
      <c r="L406" s="25" t="str">
        <f>mercancia!A82</f>
        <v>FE-1081</v>
      </c>
    </row>
    <row r="407" spans="1:12" x14ac:dyDescent="0.35">
      <c r="A407" s="26" t="str">
        <f>"CC-MC-"&amp;TEXT(1081,"0000")</f>
        <v>CC-MC-1081</v>
      </c>
      <c r="B407" s="27" t="str">
        <f>"Causación Compra"</f>
        <v>Causación Compra</v>
      </c>
      <c r="C407" s="28">
        <f ca="1">mercancia!B83</f>
        <v>46126</v>
      </c>
      <c r="D407" s="69" t="str">
        <f>"143505"</f>
        <v>143505</v>
      </c>
      <c r="E407" s="27" t="str">
        <f>"Mercancías no fabricadas por la empresa"</f>
        <v>Mercancías no fabricadas por la empresa</v>
      </c>
      <c r="F407" s="27" t="str">
        <f ca="1">mercancia!C83</f>
        <v>Herramientas Industriales Medellín S.A.S.</v>
      </c>
      <c r="G407" s="29" t="str" cm="1">
        <f t="array" aca="1" ref="G407" ca="1">INDIRECT("mercancia!D"&amp;(INT((ROW()-2)/5)+2))</f>
        <v>900.567.890-5</v>
      </c>
      <c r="H407" s="27" t="str">
        <f>CHOOSE(MOD(81,3)+1,"CC-100 Bodega Central","CC-101 Sucursal Centro","CC-102 Sucursal Itagüí")</f>
        <v>CC-100 Bodega Central</v>
      </c>
      <c r="I407" s="27" t="str">
        <f ca="1">"Compra mercancía - "&amp;mercancia!E83&amp;" - "&amp;mercancia!A83</f>
        <v>Compra mercancía - Pinturas y Acabados Aburrá S.A.S. - FE-1082</v>
      </c>
      <c r="J407" s="30">
        <f ca="1">mercancia!H83</f>
        <v>3005000</v>
      </c>
      <c r="K407" s="30">
        <f>0</f>
        <v>0</v>
      </c>
      <c r="L407" s="31" t="str">
        <f>mercancia!A83</f>
        <v>FE-1082</v>
      </c>
    </row>
    <row r="408" spans="1:12" x14ac:dyDescent="0.35">
      <c r="A408" s="26" t="str">
        <f>"CC-MC-"&amp;TEXT(1081,"0000")</f>
        <v>CC-MC-1081</v>
      </c>
      <c r="B408" s="27" t="str">
        <f>"Causación Compra"</f>
        <v>Causación Compra</v>
      </c>
      <c r="C408" s="28">
        <f ca="1">mercancia!B83</f>
        <v>46126</v>
      </c>
      <c r="D408" s="69" t="str">
        <f>"240805"</f>
        <v>240805</v>
      </c>
      <c r="E408" s="27" t="str">
        <f>"IVA descontable - 19%"</f>
        <v>IVA descontable - 19%</v>
      </c>
      <c r="F408" s="27" t="str">
        <f ca="1">mercancia!C83</f>
        <v>Herramientas Industriales Medellín S.A.S.</v>
      </c>
      <c r="G408" s="29" t="str" cm="1">
        <f t="array" aca="1" ref="G408" ca="1">INDIRECT("mercancia!D"&amp;(INT((ROW()-2)/5)+2))</f>
        <v>900.567.890-5</v>
      </c>
      <c r="H408" s="27" t="str">
        <f>CHOOSE(MOD(81,3)+1,"CC-100 Bodega Central","CC-101 Sucursal Centro","CC-102 Sucursal Itagüí")</f>
        <v>CC-100 Bodega Central</v>
      </c>
      <c r="I408" s="27" t="str">
        <f>"IVA descontable factura "&amp;mercancia!A83</f>
        <v>IVA descontable factura FE-1082</v>
      </c>
      <c r="J408" s="30">
        <f ca="1">mercancia!I83</f>
        <v>570950</v>
      </c>
      <c r="K408" s="30">
        <f>0</f>
        <v>0</v>
      </c>
      <c r="L408" s="31" t="str">
        <f>mercancia!A83</f>
        <v>FE-1082</v>
      </c>
    </row>
    <row r="409" spans="1:12" x14ac:dyDescent="0.35">
      <c r="A409" s="26" t="str">
        <f>"CC-MC-"&amp;TEXT(1081,"0000")</f>
        <v>CC-MC-1081</v>
      </c>
      <c r="B409" s="27" t="str">
        <f>"Causación Compra"</f>
        <v>Causación Compra</v>
      </c>
      <c r="C409" s="28">
        <f ca="1">mercancia!B83</f>
        <v>46126</v>
      </c>
      <c r="D409" s="69" t="str">
        <f>"236540"</f>
        <v>236540</v>
      </c>
      <c r="E409" s="27" t="str">
        <f>"Retención en la fuente - Compras"</f>
        <v>Retención en la fuente - Compras</v>
      </c>
      <c r="F409" s="27" t="str">
        <f ca="1">mercancia!C83</f>
        <v>Herramientas Industriales Medellín S.A.S.</v>
      </c>
      <c r="G409" s="29" t="str" cm="1">
        <f t="array" aca="1" ref="G409" ca="1">INDIRECT("mercancia!D"&amp;(INT((ROW()-2)/5)+2))</f>
        <v>900.567.890-5</v>
      </c>
      <c r="H409" s="27" t="str">
        <f>CHOOSE(MOD(81,3)+1,"CC-100 Bodega Central","CC-101 Sucursal Centro","CC-102 Sucursal Itagüí")</f>
        <v>CC-100 Bodega Central</v>
      </c>
      <c r="I409" s="27" t="str">
        <f ca="1">"ReteFuente "&amp;TEXT(mercancia!K83,"0.0%")&amp;" sobre compra "&amp;mercancia!A83</f>
        <v>ReteFuente 04% sobre compra FE-1082</v>
      </c>
      <c r="J409" s="30">
        <f>0</f>
        <v>0</v>
      </c>
      <c r="K409" s="30">
        <f ca="1">mercancia!L83</f>
        <v>105175</v>
      </c>
      <c r="L409" s="31" t="str">
        <f>mercancia!A83</f>
        <v>FE-1082</v>
      </c>
    </row>
    <row r="410" spans="1:12" x14ac:dyDescent="0.35">
      <c r="A410" s="26" t="str">
        <f>"CC-MC-"&amp;TEXT(1081,"0000")</f>
        <v>CC-MC-1081</v>
      </c>
      <c r="B410" s="27" t="str">
        <f>"Causación Compra"</f>
        <v>Causación Compra</v>
      </c>
      <c r="C410" s="28">
        <f ca="1">mercancia!B83</f>
        <v>46126</v>
      </c>
      <c r="D410" s="69" t="str">
        <f>"236805"</f>
        <v>236805</v>
      </c>
      <c r="E410" s="27" t="str">
        <f>"Retención ICA - Medellín 11.04‰"</f>
        <v>Retención ICA - Medellín 11.04‰</v>
      </c>
      <c r="F410" s="27" t="str">
        <f ca="1">mercancia!C83</f>
        <v>Herramientas Industriales Medellín S.A.S.</v>
      </c>
      <c r="G410" s="29" t="str" cm="1">
        <f t="array" aca="1" ref="G410" ca="1">INDIRECT("mercancia!D"&amp;(INT((ROW()-2)/5)+2))</f>
        <v>900.567.890-5</v>
      </c>
      <c r="H410" s="27" t="str">
        <f>CHOOSE(MOD(81,3)+1,"CC-100 Bodega Central","CC-101 Sucursal Centro","CC-102 Sucursal Itagüí")</f>
        <v>CC-100 Bodega Central</v>
      </c>
      <c r="I410" s="27" t="str">
        <f>"ReteICA Medellín sobre compra "&amp;mercancia!A83</f>
        <v>ReteICA Medellín sobre compra FE-1082</v>
      </c>
      <c r="J410" s="30">
        <f>0</f>
        <v>0</v>
      </c>
      <c r="K410" s="30">
        <f ca="1">mercancia!N83</f>
        <v>33175</v>
      </c>
      <c r="L410" s="31" t="str">
        <f>mercancia!A83</f>
        <v>FE-1082</v>
      </c>
    </row>
    <row r="411" spans="1:12" x14ac:dyDescent="0.35">
      <c r="A411" s="26" t="str">
        <f>"CC-MC-"&amp;TEXT(1081,"0000")</f>
        <v>CC-MC-1081</v>
      </c>
      <c r="B411" s="27" t="str">
        <f>"Causación Compra"</f>
        <v>Causación Compra</v>
      </c>
      <c r="C411" s="28">
        <f ca="1">mercancia!B83</f>
        <v>46126</v>
      </c>
      <c r="D411" s="69" t="str">
        <f>"220505"</f>
        <v>220505</v>
      </c>
      <c r="E411" s="27" t="str">
        <f>"Proveedores nacionales"</f>
        <v>Proveedores nacionales</v>
      </c>
      <c r="F411" s="27" t="str">
        <f ca="1">mercancia!C83</f>
        <v>Herramientas Industriales Medellín S.A.S.</v>
      </c>
      <c r="G411" s="29" t="str" cm="1">
        <f t="array" aca="1" ref="G411" ca="1">INDIRECT("mercancia!D"&amp;(INT((ROW()-2)/5)+2))</f>
        <v>900.567.890-5</v>
      </c>
      <c r="H411" s="27" t="str">
        <f>CHOOSE(MOD(81,3)+1,"CC-100 Bodega Central","CC-101 Sucursal Centro","CC-102 Sucursal Itagüí")</f>
        <v>CC-100 Bodega Central</v>
      </c>
      <c r="I411" s="27" t="str">
        <f>"Cuenta por pagar proveedor - "&amp;mercancia!A83</f>
        <v>Cuenta por pagar proveedor - FE-1082</v>
      </c>
      <c r="J411" s="30">
        <f>0</f>
        <v>0</v>
      </c>
      <c r="K411" s="30">
        <f ca="1">mercancia!O83</f>
        <v>3437600</v>
      </c>
      <c r="L411" s="31" t="str">
        <f>mercancia!A83</f>
        <v>FE-1082</v>
      </c>
    </row>
    <row r="412" spans="1:12" x14ac:dyDescent="0.35">
      <c r="A412" s="20" t="str">
        <f>"CC-MC-"&amp;TEXT(1082,"0000")</f>
        <v>CC-MC-1082</v>
      </c>
      <c r="B412" s="21" t="str">
        <f>"Causación Compra"</f>
        <v>Causación Compra</v>
      </c>
      <c r="C412" s="22">
        <f ca="1">mercancia!B84</f>
        <v>46128</v>
      </c>
      <c r="D412" s="68" t="str">
        <f>"143505"</f>
        <v>143505</v>
      </c>
      <c r="E412" s="21" t="str">
        <f>"Mercancías no fabricadas por la empresa"</f>
        <v>Mercancías no fabricadas por la empresa</v>
      </c>
      <c r="F412" s="21" t="str">
        <f ca="1">mercancia!C84</f>
        <v>Distribuidora El Martillo de Oro S.A.S.</v>
      </c>
      <c r="G412" s="23" t="str" cm="1">
        <f t="array" aca="1" ref="G412" ca="1">INDIRECT("mercancia!D"&amp;(INT((ROW()-2)/5)+2))</f>
        <v>900.345.678-3</v>
      </c>
      <c r="H412" s="21" t="str">
        <f>CHOOSE(MOD(82,3)+1,"CC-100 Bodega Central","CC-101 Sucursal Centro","CC-102 Sucursal Itagüí")</f>
        <v>CC-101 Sucursal Centro</v>
      </c>
      <c r="I412" s="21" t="str">
        <f ca="1">"Compra mercancía - "&amp;mercancia!E84&amp;" - "&amp;mercancia!A84</f>
        <v>Compra mercancía - Destornillador de pala 1/4" - FE-1083</v>
      </c>
      <c r="J412" s="24">
        <f ca="1">mercancia!H84</f>
        <v>3888500</v>
      </c>
      <c r="K412" s="24">
        <f>0</f>
        <v>0</v>
      </c>
      <c r="L412" s="25" t="str">
        <f>mercancia!A84</f>
        <v>FE-1083</v>
      </c>
    </row>
    <row r="413" spans="1:12" x14ac:dyDescent="0.35">
      <c r="A413" s="20" t="str">
        <f>"CC-MC-"&amp;TEXT(1082,"0000")</f>
        <v>CC-MC-1082</v>
      </c>
      <c r="B413" s="21" t="str">
        <f>"Causación Compra"</f>
        <v>Causación Compra</v>
      </c>
      <c r="C413" s="22">
        <f ca="1">mercancia!B84</f>
        <v>46128</v>
      </c>
      <c r="D413" s="68" t="str">
        <f>"240805"</f>
        <v>240805</v>
      </c>
      <c r="E413" s="21" t="str">
        <f>"IVA descontable - 19%"</f>
        <v>IVA descontable - 19%</v>
      </c>
      <c r="F413" s="21" t="str">
        <f ca="1">mercancia!C84</f>
        <v>Distribuidora El Martillo de Oro S.A.S.</v>
      </c>
      <c r="G413" s="23" t="str" cm="1">
        <f t="array" aca="1" ref="G413" ca="1">INDIRECT("mercancia!D"&amp;(INT((ROW()-2)/5)+2))</f>
        <v>900.345.678-3</v>
      </c>
      <c r="H413" s="21" t="str">
        <f>CHOOSE(MOD(82,3)+1,"CC-100 Bodega Central","CC-101 Sucursal Centro","CC-102 Sucursal Itagüí")</f>
        <v>CC-101 Sucursal Centro</v>
      </c>
      <c r="I413" s="21" t="str">
        <f>"IVA descontable factura "&amp;mercancia!A84</f>
        <v>IVA descontable factura FE-1083</v>
      </c>
      <c r="J413" s="24">
        <f ca="1">mercancia!I84</f>
        <v>738815</v>
      </c>
      <c r="K413" s="24">
        <f>0</f>
        <v>0</v>
      </c>
      <c r="L413" s="25" t="str">
        <f>mercancia!A84</f>
        <v>FE-1083</v>
      </c>
    </row>
    <row r="414" spans="1:12" x14ac:dyDescent="0.35">
      <c r="A414" s="20" t="str">
        <f>"CC-MC-"&amp;TEXT(1082,"0000")</f>
        <v>CC-MC-1082</v>
      </c>
      <c r="B414" s="21" t="str">
        <f>"Causación Compra"</f>
        <v>Causación Compra</v>
      </c>
      <c r="C414" s="22">
        <f ca="1">mercancia!B84</f>
        <v>46128</v>
      </c>
      <c r="D414" s="68" t="str">
        <f>"236540"</f>
        <v>236540</v>
      </c>
      <c r="E414" s="21" t="str">
        <f>"Retención en la fuente - Compras"</f>
        <v>Retención en la fuente - Compras</v>
      </c>
      <c r="F414" s="21" t="str">
        <f ca="1">mercancia!C84</f>
        <v>Distribuidora El Martillo de Oro S.A.S.</v>
      </c>
      <c r="G414" s="23" t="str" cm="1">
        <f t="array" aca="1" ref="G414" ca="1">INDIRECT("mercancia!D"&amp;(INT((ROW()-2)/5)+2))</f>
        <v>900.345.678-3</v>
      </c>
      <c r="H414" s="21" t="str">
        <f>CHOOSE(MOD(82,3)+1,"CC-100 Bodega Central","CC-101 Sucursal Centro","CC-102 Sucursal Itagüí")</f>
        <v>CC-101 Sucursal Centro</v>
      </c>
      <c r="I414" s="21" t="str">
        <f ca="1">"ReteFuente "&amp;TEXT(mercancia!K84,"0.0%")&amp;" sobre compra "&amp;mercancia!A84</f>
        <v>ReteFuente 03% sobre compra FE-1083</v>
      </c>
      <c r="J414" s="24">
        <f>0</f>
        <v>0</v>
      </c>
      <c r="K414" s="24">
        <f ca="1">mercancia!L84</f>
        <v>97213</v>
      </c>
      <c r="L414" s="25" t="str">
        <f>mercancia!A84</f>
        <v>FE-1083</v>
      </c>
    </row>
    <row r="415" spans="1:12" x14ac:dyDescent="0.35">
      <c r="A415" s="20" t="str">
        <f>"CC-MC-"&amp;TEXT(1082,"0000")</f>
        <v>CC-MC-1082</v>
      </c>
      <c r="B415" s="21" t="str">
        <f>"Causación Compra"</f>
        <v>Causación Compra</v>
      </c>
      <c r="C415" s="22">
        <f ca="1">mercancia!B84</f>
        <v>46128</v>
      </c>
      <c r="D415" s="68" t="str">
        <f>"236805"</f>
        <v>236805</v>
      </c>
      <c r="E415" s="21" t="str">
        <f>"Retención ICA - Medellín 11.04‰"</f>
        <v>Retención ICA - Medellín 11.04‰</v>
      </c>
      <c r="F415" s="21" t="str">
        <f ca="1">mercancia!C84</f>
        <v>Distribuidora El Martillo de Oro S.A.S.</v>
      </c>
      <c r="G415" s="23" t="str" cm="1">
        <f t="array" aca="1" ref="G415" ca="1">INDIRECT("mercancia!D"&amp;(INT((ROW()-2)/5)+2))</f>
        <v>900.345.678-3</v>
      </c>
      <c r="H415" s="21" t="str">
        <f>CHOOSE(MOD(82,3)+1,"CC-100 Bodega Central","CC-101 Sucursal Centro","CC-102 Sucursal Itagüí")</f>
        <v>CC-101 Sucursal Centro</v>
      </c>
      <c r="I415" s="21" t="str">
        <f>"ReteICA Medellín sobre compra "&amp;mercancia!A84</f>
        <v>ReteICA Medellín sobre compra FE-1083</v>
      </c>
      <c r="J415" s="24">
        <f>0</f>
        <v>0</v>
      </c>
      <c r="K415" s="24">
        <f ca="1">mercancia!N84</f>
        <v>42929</v>
      </c>
      <c r="L415" s="25" t="str">
        <f>mercancia!A84</f>
        <v>FE-1083</v>
      </c>
    </row>
    <row r="416" spans="1:12" x14ac:dyDescent="0.35">
      <c r="A416" s="20" t="str">
        <f>"CC-MC-"&amp;TEXT(1082,"0000")</f>
        <v>CC-MC-1082</v>
      </c>
      <c r="B416" s="21" t="str">
        <f>"Causación Compra"</f>
        <v>Causación Compra</v>
      </c>
      <c r="C416" s="22">
        <f ca="1">mercancia!B84</f>
        <v>46128</v>
      </c>
      <c r="D416" s="68" t="str">
        <f>"220505"</f>
        <v>220505</v>
      </c>
      <c r="E416" s="21" t="str">
        <f>"Proveedores nacionales"</f>
        <v>Proveedores nacionales</v>
      </c>
      <c r="F416" s="21" t="str">
        <f ca="1">mercancia!C84</f>
        <v>Distribuidora El Martillo de Oro S.A.S.</v>
      </c>
      <c r="G416" s="23" t="str" cm="1">
        <f t="array" aca="1" ref="G416" ca="1">INDIRECT("mercancia!D"&amp;(INT((ROW()-2)/5)+2))</f>
        <v>900.345.678-3</v>
      </c>
      <c r="H416" s="21" t="str">
        <f>CHOOSE(MOD(82,3)+1,"CC-100 Bodega Central","CC-101 Sucursal Centro","CC-102 Sucursal Itagüí")</f>
        <v>CC-101 Sucursal Centro</v>
      </c>
      <c r="I416" s="21" t="str">
        <f>"Cuenta por pagar proveedor - "&amp;mercancia!A84</f>
        <v>Cuenta por pagar proveedor - FE-1083</v>
      </c>
      <c r="J416" s="24">
        <f>0</f>
        <v>0</v>
      </c>
      <c r="K416" s="24">
        <f ca="1">mercancia!O84</f>
        <v>4487173</v>
      </c>
      <c r="L416" s="25" t="str">
        <f>mercancia!A84</f>
        <v>FE-1083</v>
      </c>
    </row>
    <row r="417" spans="1:12" x14ac:dyDescent="0.35">
      <c r="A417" s="26" t="str">
        <f>"CC-MC-"&amp;TEXT(1083,"0000")</f>
        <v>CC-MC-1083</v>
      </c>
      <c r="B417" s="27" t="str">
        <f>"Causación Compra"</f>
        <v>Causación Compra</v>
      </c>
      <c r="C417" s="28">
        <f ca="1">mercancia!B85</f>
        <v>46070</v>
      </c>
      <c r="D417" s="69" t="str">
        <f>"143505"</f>
        <v>143505</v>
      </c>
      <c r="E417" s="27" t="str">
        <f>"Mercancías no fabricadas por la empresa"</f>
        <v>Mercancías no fabricadas por la empresa</v>
      </c>
      <c r="F417" s="27" t="str">
        <f ca="1">mercancia!C85</f>
        <v>Herramientas Industriales Medellín S.A.S.</v>
      </c>
      <c r="G417" s="29" t="str" cm="1">
        <f t="array" aca="1" ref="G417" ca="1">INDIRECT("mercancia!D"&amp;(INT((ROW()-2)/5)+2))</f>
        <v>900.567.890-5</v>
      </c>
      <c r="H417" s="27" t="str">
        <f>CHOOSE(MOD(83,3)+1,"CC-100 Bodega Central","CC-101 Sucursal Centro","CC-102 Sucursal Itagüí")</f>
        <v>CC-102 Sucursal Itagüí</v>
      </c>
      <c r="I417" s="27" t="str">
        <f ca="1">"Compra mercancía - "&amp;mercancia!E85&amp;" - "&amp;mercancia!A85</f>
        <v>Compra mercancía - Bloque de concreto 10x20x40 - FE-1084</v>
      </c>
      <c r="J417" s="30">
        <f ca="1">mercancia!H85</f>
        <v>16315200</v>
      </c>
      <c r="K417" s="30">
        <f>0</f>
        <v>0</v>
      </c>
      <c r="L417" s="31" t="str">
        <f>mercancia!A85</f>
        <v>FE-1084</v>
      </c>
    </row>
    <row r="418" spans="1:12" x14ac:dyDescent="0.35">
      <c r="A418" s="26" t="str">
        <f>"CC-MC-"&amp;TEXT(1083,"0000")</f>
        <v>CC-MC-1083</v>
      </c>
      <c r="B418" s="27" t="str">
        <f>"Causación Compra"</f>
        <v>Causación Compra</v>
      </c>
      <c r="C418" s="28">
        <f ca="1">mercancia!B85</f>
        <v>46070</v>
      </c>
      <c r="D418" s="69" t="str">
        <f>"240805"</f>
        <v>240805</v>
      </c>
      <c r="E418" s="27" t="str">
        <f>"IVA descontable - 19%"</f>
        <v>IVA descontable - 19%</v>
      </c>
      <c r="F418" s="27" t="str">
        <f ca="1">mercancia!C85</f>
        <v>Herramientas Industriales Medellín S.A.S.</v>
      </c>
      <c r="G418" s="29" t="str" cm="1">
        <f t="array" aca="1" ref="G418" ca="1">INDIRECT("mercancia!D"&amp;(INT((ROW()-2)/5)+2))</f>
        <v>900.567.890-5</v>
      </c>
      <c r="H418" s="27" t="str">
        <f>CHOOSE(MOD(83,3)+1,"CC-100 Bodega Central","CC-101 Sucursal Centro","CC-102 Sucursal Itagüí")</f>
        <v>CC-102 Sucursal Itagüí</v>
      </c>
      <c r="I418" s="27" t="str">
        <f>"IVA descontable factura "&amp;mercancia!A85</f>
        <v>IVA descontable factura FE-1084</v>
      </c>
      <c r="J418" s="30">
        <f ca="1">mercancia!I85</f>
        <v>3099888</v>
      </c>
      <c r="K418" s="30">
        <f>0</f>
        <v>0</v>
      </c>
      <c r="L418" s="31" t="str">
        <f>mercancia!A85</f>
        <v>FE-1084</v>
      </c>
    </row>
    <row r="419" spans="1:12" x14ac:dyDescent="0.35">
      <c r="A419" s="26" t="str">
        <f>"CC-MC-"&amp;TEXT(1083,"0000")</f>
        <v>CC-MC-1083</v>
      </c>
      <c r="B419" s="27" t="str">
        <f>"Causación Compra"</f>
        <v>Causación Compra</v>
      </c>
      <c r="C419" s="28">
        <f ca="1">mercancia!B85</f>
        <v>46070</v>
      </c>
      <c r="D419" s="69" t="str">
        <f>"236540"</f>
        <v>236540</v>
      </c>
      <c r="E419" s="27" t="str">
        <f>"Retención en la fuente - Compras"</f>
        <v>Retención en la fuente - Compras</v>
      </c>
      <c r="F419" s="27" t="str">
        <f ca="1">mercancia!C85</f>
        <v>Herramientas Industriales Medellín S.A.S.</v>
      </c>
      <c r="G419" s="29" t="str" cm="1">
        <f t="array" aca="1" ref="G419" ca="1">INDIRECT("mercancia!D"&amp;(INT((ROW()-2)/5)+2))</f>
        <v>900.567.890-5</v>
      </c>
      <c r="H419" s="27" t="str">
        <f>CHOOSE(MOD(83,3)+1,"CC-100 Bodega Central","CC-101 Sucursal Centro","CC-102 Sucursal Itagüí")</f>
        <v>CC-102 Sucursal Itagüí</v>
      </c>
      <c r="I419" s="27" t="str">
        <f ca="1">"ReteFuente "&amp;TEXT(mercancia!K85,"0.0%")&amp;" sobre compra "&amp;mercancia!A85</f>
        <v>ReteFuente 03% sobre compra FE-1084</v>
      </c>
      <c r="J419" s="30">
        <f>0</f>
        <v>0</v>
      </c>
      <c r="K419" s="30">
        <f ca="1">mercancia!L85</f>
        <v>407880</v>
      </c>
      <c r="L419" s="31" t="str">
        <f>mercancia!A85</f>
        <v>FE-1084</v>
      </c>
    </row>
    <row r="420" spans="1:12" x14ac:dyDescent="0.35">
      <c r="A420" s="26" t="str">
        <f>"CC-MC-"&amp;TEXT(1083,"0000")</f>
        <v>CC-MC-1083</v>
      </c>
      <c r="B420" s="27" t="str">
        <f>"Causación Compra"</f>
        <v>Causación Compra</v>
      </c>
      <c r="C420" s="28">
        <f ca="1">mercancia!B85</f>
        <v>46070</v>
      </c>
      <c r="D420" s="69" t="str">
        <f>"236805"</f>
        <v>236805</v>
      </c>
      <c r="E420" s="27" t="str">
        <f>"Retención ICA - Medellín 11.04‰"</f>
        <v>Retención ICA - Medellín 11.04‰</v>
      </c>
      <c r="F420" s="27" t="str">
        <f ca="1">mercancia!C85</f>
        <v>Herramientas Industriales Medellín S.A.S.</v>
      </c>
      <c r="G420" s="29" t="str" cm="1">
        <f t="array" aca="1" ref="G420" ca="1">INDIRECT("mercancia!D"&amp;(INT((ROW()-2)/5)+2))</f>
        <v>900.567.890-5</v>
      </c>
      <c r="H420" s="27" t="str">
        <f>CHOOSE(MOD(83,3)+1,"CC-100 Bodega Central","CC-101 Sucursal Centro","CC-102 Sucursal Itagüí")</f>
        <v>CC-102 Sucursal Itagüí</v>
      </c>
      <c r="I420" s="27" t="str">
        <f>"ReteICA Medellín sobre compra "&amp;mercancia!A85</f>
        <v>ReteICA Medellín sobre compra FE-1084</v>
      </c>
      <c r="J420" s="30">
        <f>0</f>
        <v>0</v>
      </c>
      <c r="K420" s="30">
        <f ca="1">mercancia!N85</f>
        <v>180120</v>
      </c>
      <c r="L420" s="31" t="str">
        <f>mercancia!A85</f>
        <v>FE-1084</v>
      </c>
    </row>
    <row r="421" spans="1:12" x14ac:dyDescent="0.35">
      <c r="A421" s="26" t="str">
        <f>"CC-MC-"&amp;TEXT(1083,"0000")</f>
        <v>CC-MC-1083</v>
      </c>
      <c r="B421" s="27" t="str">
        <f>"Causación Compra"</f>
        <v>Causación Compra</v>
      </c>
      <c r="C421" s="28">
        <f ca="1">mercancia!B85</f>
        <v>46070</v>
      </c>
      <c r="D421" s="69" t="str">
        <f>"220505"</f>
        <v>220505</v>
      </c>
      <c r="E421" s="27" t="str">
        <f>"Proveedores nacionales"</f>
        <v>Proveedores nacionales</v>
      </c>
      <c r="F421" s="27" t="str">
        <f ca="1">mercancia!C85</f>
        <v>Herramientas Industriales Medellín S.A.S.</v>
      </c>
      <c r="G421" s="29" t="str" cm="1">
        <f t="array" aca="1" ref="G421" ca="1">INDIRECT("mercancia!D"&amp;(INT((ROW()-2)/5)+2))</f>
        <v>900.567.890-5</v>
      </c>
      <c r="H421" s="27" t="str">
        <f>CHOOSE(MOD(83,3)+1,"CC-100 Bodega Central","CC-101 Sucursal Centro","CC-102 Sucursal Itagüí")</f>
        <v>CC-102 Sucursal Itagüí</v>
      </c>
      <c r="I421" s="27" t="str">
        <f>"Cuenta por pagar proveedor - "&amp;mercancia!A85</f>
        <v>Cuenta por pagar proveedor - FE-1084</v>
      </c>
      <c r="J421" s="30">
        <f>0</f>
        <v>0</v>
      </c>
      <c r="K421" s="30">
        <f ca="1">mercancia!O85</f>
        <v>18827088</v>
      </c>
      <c r="L421" s="31" t="str">
        <f>mercancia!A85</f>
        <v>FE-1084</v>
      </c>
    </row>
    <row r="422" spans="1:12" x14ac:dyDescent="0.35">
      <c r="A422" s="20" t="str">
        <f>"CC-MC-"&amp;TEXT(1084,"0000")</f>
        <v>CC-MC-1084</v>
      </c>
      <c r="B422" s="21" t="str">
        <f>"Causación Compra"</f>
        <v>Causación Compra</v>
      </c>
      <c r="C422" s="22">
        <f ca="1">mercancia!B86</f>
        <v>46079</v>
      </c>
      <c r="D422" s="68" t="str">
        <f>"143505"</f>
        <v>143505</v>
      </c>
      <c r="E422" s="21" t="str">
        <f>"Mercancías no fabricadas por la empresa"</f>
        <v>Mercancías no fabricadas por la empresa</v>
      </c>
      <c r="F422" s="21" t="str">
        <f ca="1">mercancia!C86</f>
        <v>Acabados y Construcción Poblado S.A.S.</v>
      </c>
      <c r="G422" s="23" t="str" cm="1">
        <f t="array" aca="1" ref="G422" ca="1">INDIRECT("mercancia!D"&amp;(INT((ROW()-2)/5)+2))</f>
        <v>901.567.890-5</v>
      </c>
      <c r="H422" s="21" t="str">
        <f>CHOOSE(MOD(84,3)+1,"CC-100 Bodega Central","CC-101 Sucursal Centro","CC-102 Sucursal Itagüí")</f>
        <v>CC-100 Bodega Central</v>
      </c>
      <c r="I422" s="21" t="str">
        <f ca="1">"Compra mercancía - "&amp;mercancia!E86&amp;" - "&amp;mercancia!A86</f>
        <v>Compra mercancía - Materiales La Estrella S.A.S. - FE-1085</v>
      </c>
      <c r="J422" s="24">
        <f ca="1">mercancia!H86</f>
        <v>13105400</v>
      </c>
      <c r="K422" s="24">
        <f>0</f>
        <v>0</v>
      </c>
      <c r="L422" s="25" t="str">
        <f>mercancia!A86</f>
        <v>FE-1085</v>
      </c>
    </row>
    <row r="423" spans="1:12" x14ac:dyDescent="0.35">
      <c r="A423" s="20" t="str">
        <f>"CC-MC-"&amp;TEXT(1084,"0000")</f>
        <v>CC-MC-1084</v>
      </c>
      <c r="B423" s="21" t="str">
        <f>"Causación Compra"</f>
        <v>Causación Compra</v>
      </c>
      <c r="C423" s="22">
        <f ca="1">mercancia!B86</f>
        <v>46079</v>
      </c>
      <c r="D423" s="68" t="str">
        <f>"240805"</f>
        <v>240805</v>
      </c>
      <c r="E423" s="21" t="str">
        <f>"IVA descontable - 19%"</f>
        <v>IVA descontable - 19%</v>
      </c>
      <c r="F423" s="21" t="str">
        <f ca="1">mercancia!C86</f>
        <v>Acabados y Construcción Poblado S.A.S.</v>
      </c>
      <c r="G423" s="23" t="str" cm="1">
        <f t="array" aca="1" ref="G423" ca="1">INDIRECT("mercancia!D"&amp;(INT((ROW()-2)/5)+2))</f>
        <v>901.567.890-5</v>
      </c>
      <c r="H423" s="21" t="str">
        <f>CHOOSE(MOD(84,3)+1,"CC-100 Bodega Central","CC-101 Sucursal Centro","CC-102 Sucursal Itagüí")</f>
        <v>CC-100 Bodega Central</v>
      </c>
      <c r="I423" s="21" t="str">
        <f>"IVA descontable factura "&amp;mercancia!A86</f>
        <v>IVA descontable factura FE-1085</v>
      </c>
      <c r="J423" s="24">
        <f ca="1">mercancia!I86</f>
        <v>2490026</v>
      </c>
      <c r="K423" s="24">
        <f>0</f>
        <v>0</v>
      </c>
      <c r="L423" s="25" t="str">
        <f>mercancia!A86</f>
        <v>FE-1085</v>
      </c>
    </row>
    <row r="424" spans="1:12" x14ac:dyDescent="0.35">
      <c r="A424" s="20" t="str">
        <f>"CC-MC-"&amp;TEXT(1084,"0000")</f>
        <v>CC-MC-1084</v>
      </c>
      <c r="B424" s="21" t="str">
        <f>"Causación Compra"</f>
        <v>Causación Compra</v>
      </c>
      <c r="C424" s="22">
        <f ca="1">mercancia!B86</f>
        <v>46079</v>
      </c>
      <c r="D424" s="68" t="str">
        <f>"236540"</f>
        <v>236540</v>
      </c>
      <c r="E424" s="21" t="str">
        <f>"Retención en la fuente - Compras"</f>
        <v>Retención en la fuente - Compras</v>
      </c>
      <c r="F424" s="21" t="str">
        <f ca="1">mercancia!C86</f>
        <v>Acabados y Construcción Poblado S.A.S.</v>
      </c>
      <c r="G424" s="23" t="str" cm="1">
        <f t="array" aca="1" ref="G424" ca="1">INDIRECT("mercancia!D"&amp;(INT((ROW()-2)/5)+2))</f>
        <v>901.567.890-5</v>
      </c>
      <c r="H424" s="21" t="str">
        <f>CHOOSE(MOD(84,3)+1,"CC-100 Bodega Central","CC-101 Sucursal Centro","CC-102 Sucursal Itagüí")</f>
        <v>CC-100 Bodega Central</v>
      </c>
      <c r="I424" s="21" t="str">
        <f ca="1">"ReteFuente "&amp;TEXT(mercancia!K86,"0.0%")&amp;" sobre compra "&amp;mercancia!A86</f>
        <v>ReteFuente 03% sobre compra FE-1085</v>
      </c>
      <c r="J424" s="24">
        <f>0</f>
        <v>0</v>
      </c>
      <c r="K424" s="24">
        <f ca="1">mercancia!L86</f>
        <v>327635</v>
      </c>
      <c r="L424" s="25" t="str">
        <f>mercancia!A86</f>
        <v>FE-1085</v>
      </c>
    </row>
    <row r="425" spans="1:12" x14ac:dyDescent="0.35">
      <c r="A425" s="20" t="str">
        <f>"CC-MC-"&amp;TEXT(1084,"0000")</f>
        <v>CC-MC-1084</v>
      </c>
      <c r="B425" s="21" t="str">
        <f>"Causación Compra"</f>
        <v>Causación Compra</v>
      </c>
      <c r="C425" s="22">
        <f ca="1">mercancia!B86</f>
        <v>46079</v>
      </c>
      <c r="D425" s="68" t="str">
        <f>"236805"</f>
        <v>236805</v>
      </c>
      <c r="E425" s="21" t="str">
        <f>"Retención ICA - Medellín 11.04‰"</f>
        <v>Retención ICA - Medellín 11.04‰</v>
      </c>
      <c r="F425" s="21" t="str">
        <f ca="1">mercancia!C86</f>
        <v>Acabados y Construcción Poblado S.A.S.</v>
      </c>
      <c r="G425" s="23" t="str" cm="1">
        <f t="array" aca="1" ref="G425" ca="1">INDIRECT("mercancia!D"&amp;(INT((ROW()-2)/5)+2))</f>
        <v>901.567.890-5</v>
      </c>
      <c r="H425" s="21" t="str">
        <f>CHOOSE(MOD(84,3)+1,"CC-100 Bodega Central","CC-101 Sucursal Centro","CC-102 Sucursal Itagüí")</f>
        <v>CC-100 Bodega Central</v>
      </c>
      <c r="I425" s="21" t="str">
        <f>"ReteICA Medellín sobre compra "&amp;mercancia!A86</f>
        <v>ReteICA Medellín sobre compra FE-1085</v>
      </c>
      <c r="J425" s="24">
        <f>0</f>
        <v>0</v>
      </c>
      <c r="K425" s="24">
        <f ca="1">mercancia!N86</f>
        <v>144684</v>
      </c>
      <c r="L425" s="25" t="str">
        <f>mercancia!A86</f>
        <v>FE-1085</v>
      </c>
    </row>
    <row r="426" spans="1:12" x14ac:dyDescent="0.35">
      <c r="A426" s="20" t="str">
        <f>"CC-MC-"&amp;TEXT(1084,"0000")</f>
        <v>CC-MC-1084</v>
      </c>
      <c r="B426" s="21" t="str">
        <f>"Causación Compra"</f>
        <v>Causación Compra</v>
      </c>
      <c r="C426" s="22">
        <f ca="1">mercancia!B86</f>
        <v>46079</v>
      </c>
      <c r="D426" s="68" t="str">
        <f>"220505"</f>
        <v>220505</v>
      </c>
      <c r="E426" s="21" t="str">
        <f>"Proveedores nacionales"</f>
        <v>Proveedores nacionales</v>
      </c>
      <c r="F426" s="21" t="str">
        <f ca="1">mercancia!C86</f>
        <v>Acabados y Construcción Poblado S.A.S.</v>
      </c>
      <c r="G426" s="23" t="str" cm="1">
        <f t="array" aca="1" ref="G426" ca="1">INDIRECT("mercancia!D"&amp;(INT((ROW()-2)/5)+2))</f>
        <v>901.567.890-5</v>
      </c>
      <c r="H426" s="21" t="str">
        <f>CHOOSE(MOD(84,3)+1,"CC-100 Bodega Central","CC-101 Sucursal Centro","CC-102 Sucursal Itagüí")</f>
        <v>CC-100 Bodega Central</v>
      </c>
      <c r="I426" s="21" t="str">
        <f>"Cuenta por pagar proveedor - "&amp;mercancia!A86</f>
        <v>Cuenta por pagar proveedor - FE-1085</v>
      </c>
      <c r="J426" s="24">
        <f>0</f>
        <v>0</v>
      </c>
      <c r="K426" s="24">
        <f ca="1">mercancia!O86</f>
        <v>15123107</v>
      </c>
      <c r="L426" s="25" t="str">
        <f>mercancia!A86</f>
        <v>FE-1085</v>
      </c>
    </row>
    <row r="427" spans="1:12" x14ac:dyDescent="0.35">
      <c r="A427" s="26" t="str">
        <f>"CC-MC-"&amp;TEXT(1085,"0000")</f>
        <v>CC-MC-1085</v>
      </c>
      <c r="B427" s="27" t="str">
        <f>"Causación Compra"</f>
        <v>Causación Compra</v>
      </c>
      <c r="C427" s="28">
        <f ca="1">mercancia!B87</f>
        <v>46063</v>
      </c>
      <c r="D427" s="69" t="str">
        <f>"143505"</f>
        <v>143505</v>
      </c>
      <c r="E427" s="27" t="str">
        <f>"Mercancías no fabricadas por la empresa"</f>
        <v>Mercancías no fabricadas por la empresa</v>
      </c>
      <c r="F427" s="27" t="str">
        <f ca="1">mercancia!C87</f>
        <v>Tubos y Conexiones Envigado Ltda.</v>
      </c>
      <c r="G427" s="29" t="str" cm="1">
        <f t="array" aca="1" ref="G427" ca="1">INDIRECT("mercancia!D"&amp;(INT((ROW()-2)/5)+2))</f>
        <v>901.012.345-0</v>
      </c>
      <c r="H427" s="27" t="str">
        <f>CHOOSE(MOD(85,3)+1,"CC-100 Bodega Central","CC-101 Sucursal Centro","CC-102 Sucursal Itagüí")</f>
        <v>CC-101 Sucursal Centro</v>
      </c>
      <c r="I427" s="27" t="str">
        <f ca="1">"Compra mercancía - "&amp;mercancia!E87&amp;" - "&amp;mercancia!A87</f>
        <v>Compra mercancía - Teja eternit ondulada No. 6 - FE-1086</v>
      </c>
      <c r="J427" s="30">
        <f ca="1">mercancia!H87</f>
        <v>4137600</v>
      </c>
      <c r="K427" s="30">
        <f>0</f>
        <v>0</v>
      </c>
      <c r="L427" s="31" t="str">
        <f>mercancia!A87</f>
        <v>FE-1086</v>
      </c>
    </row>
    <row r="428" spans="1:12" x14ac:dyDescent="0.35">
      <c r="A428" s="26" t="str">
        <f>"CC-MC-"&amp;TEXT(1085,"0000")</f>
        <v>CC-MC-1085</v>
      </c>
      <c r="B428" s="27" t="str">
        <f>"Causación Compra"</f>
        <v>Causación Compra</v>
      </c>
      <c r="C428" s="28">
        <f ca="1">mercancia!B87</f>
        <v>46063</v>
      </c>
      <c r="D428" s="69" t="str">
        <f>"240805"</f>
        <v>240805</v>
      </c>
      <c r="E428" s="27" t="str">
        <f>"IVA descontable - 19%"</f>
        <v>IVA descontable - 19%</v>
      </c>
      <c r="F428" s="27" t="str">
        <f ca="1">mercancia!C87</f>
        <v>Tubos y Conexiones Envigado Ltda.</v>
      </c>
      <c r="G428" s="29" t="str" cm="1">
        <f t="array" aca="1" ref="G428" ca="1">INDIRECT("mercancia!D"&amp;(INT((ROW()-2)/5)+2))</f>
        <v>901.012.345-0</v>
      </c>
      <c r="H428" s="27" t="str">
        <f>CHOOSE(MOD(85,3)+1,"CC-100 Bodega Central","CC-101 Sucursal Centro","CC-102 Sucursal Itagüí")</f>
        <v>CC-101 Sucursal Centro</v>
      </c>
      <c r="I428" s="27" t="str">
        <f>"IVA descontable factura "&amp;mercancia!A87</f>
        <v>IVA descontable factura FE-1086</v>
      </c>
      <c r="J428" s="30">
        <f ca="1">mercancia!I87</f>
        <v>786144</v>
      </c>
      <c r="K428" s="30">
        <f>0</f>
        <v>0</v>
      </c>
      <c r="L428" s="31" t="str">
        <f>mercancia!A87</f>
        <v>FE-1086</v>
      </c>
    </row>
    <row r="429" spans="1:12" x14ac:dyDescent="0.35">
      <c r="A429" s="26" t="str">
        <f>"CC-MC-"&amp;TEXT(1085,"0000")</f>
        <v>CC-MC-1085</v>
      </c>
      <c r="B429" s="27" t="str">
        <f>"Causación Compra"</f>
        <v>Causación Compra</v>
      </c>
      <c r="C429" s="28">
        <f ca="1">mercancia!B87</f>
        <v>46063</v>
      </c>
      <c r="D429" s="69" t="str">
        <f>"236540"</f>
        <v>236540</v>
      </c>
      <c r="E429" s="27" t="str">
        <f>"Retención en la fuente - Compras"</f>
        <v>Retención en la fuente - Compras</v>
      </c>
      <c r="F429" s="27" t="str">
        <f ca="1">mercancia!C87</f>
        <v>Tubos y Conexiones Envigado Ltda.</v>
      </c>
      <c r="G429" s="29" t="str" cm="1">
        <f t="array" aca="1" ref="G429" ca="1">INDIRECT("mercancia!D"&amp;(INT((ROW()-2)/5)+2))</f>
        <v>901.012.345-0</v>
      </c>
      <c r="H429" s="27" t="str">
        <f>CHOOSE(MOD(85,3)+1,"CC-100 Bodega Central","CC-101 Sucursal Centro","CC-102 Sucursal Itagüí")</f>
        <v>CC-101 Sucursal Centro</v>
      </c>
      <c r="I429" s="27" t="str">
        <f ca="1">"ReteFuente "&amp;TEXT(mercancia!K87,"0.0%")&amp;" sobre compra "&amp;mercancia!A87</f>
        <v>ReteFuente 03% sobre compra FE-1086</v>
      </c>
      <c r="J429" s="30">
        <f>0</f>
        <v>0</v>
      </c>
      <c r="K429" s="30">
        <f ca="1">mercancia!L87</f>
        <v>103440</v>
      </c>
      <c r="L429" s="31" t="str">
        <f>mercancia!A87</f>
        <v>FE-1086</v>
      </c>
    </row>
    <row r="430" spans="1:12" x14ac:dyDescent="0.35">
      <c r="A430" s="26" t="str">
        <f>"CC-MC-"&amp;TEXT(1085,"0000")</f>
        <v>CC-MC-1085</v>
      </c>
      <c r="B430" s="27" t="str">
        <f>"Causación Compra"</f>
        <v>Causación Compra</v>
      </c>
      <c r="C430" s="28">
        <f ca="1">mercancia!B87</f>
        <v>46063</v>
      </c>
      <c r="D430" s="69" t="str">
        <f>"236805"</f>
        <v>236805</v>
      </c>
      <c r="E430" s="27" t="str">
        <f>"Retención ICA - Medellín 11.04‰"</f>
        <v>Retención ICA - Medellín 11.04‰</v>
      </c>
      <c r="F430" s="27" t="str">
        <f ca="1">mercancia!C87</f>
        <v>Tubos y Conexiones Envigado Ltda.</v>
      </c>
      <c r="G430" s="29" t="str" cm="1">
        <f t="array" aca="1" ref="G430" ca="1">INDIRECT("mercancia!D"&amp;(INT((ROW()-2)/5)+2))</f>
        <v>901.012.345-0</v>
      </c>
      <c r="H430" s="27" t="str">
        <f>CHOOSE(MOD(85,3)+1,"CC-100 Bodega Central","CC-101 Sucursal Centro","CC-102 Sucursal Itagüí")</f>
        <v>CC-101 Sucursal Centro</v>
      </c>
      <c r="I430" s="27" t="str">
        <f>"ReteICA Medellín sobre compra "&amp;mercancia!A87</f>
        <v>ReteICA Medellín sobre compra FE-1086</v>
      </c>
      <c r="J430" s="30">
        <f>0</f>
        <v>0</v>
      </c>
      <c r="K430" s="30">
        <f ca="1">mercancia!N87</f>
        <v>45679</v>
      </c>
      <c r="L430" s="31" t="str">
        <f>mercancia!A87</f>
        <v>FE-1086</v>
      </c>
    </row>
    <row r="431" spans="1:12" x14ac:dyDescent="0.35">
      <c r="A431" s="26" t="str">
        <f>"CC-MC-"&amp;TEXT(1085,"0000")</f>
        <v>CC-MC-1085</v>
      </c>
      <c r="B431" s="27" t="str">
        <f>"Causación Compra"</f>
        <v>Causación Compra</v>
      </c>
      <c r="C431" s="28">
        <f ca="1">mercancia!B87</f>
        <v>46063</v>
      </c>
      <c r="D431" s="69" t="str">
        <f>"220505"</f>
        <v>220505</v>
      </c>
      <c r="E431" s="27" t="str">
        <f>"Proveedores nacionales"</f>
        <v>Proveedores nacionales</v>
      </c>
      <c r="F431" s="27" t="str">
        <f ca="1">mercancia!C87</f>
        <v>Tubos y Conexiones Envigado Ltda.</v>
      </c>
      <c r="G431" s="29" t="str" cm="1">
        <f t="array" aca="1" ref="G431" ca="1">INDIRECT("mercancia!D"&amp;(INT((ROW()-2)/5)+2))</f>
        <v>901.012.345-0</v>
      </c>
      <c r="H431" s="27" t="str">
        <f>CHOOSE(MOD(85,3)+1,"CC-100 Bodega Central","CC-101 Sucursal Centro","CC-102 Sucursal Itagüí")</f>
        <v>CC-101 Sucursal Centro</v>
      </c>
      <c r="I431" s="27" t="str">
        <f>"Cuenta por pagar proveedor - "&amp;mercancia!A87</f>
        <v>Cuenta por pagar proveedor - FE-1086</v>
      </c>
      <c r="J431" s="30">
        <f>0</f>
        <v>0</v>
      </c>
      <c r="K431" s="30">
        <f ca="1">mercancia!O87</f>
        <v>4774625</v>
      </c>
      <c r="L431" s="31" t="str">
        <f>mercancia!A87</f>
        <v>FE-1086</v>
      </c>
    </row>
    <row r="432" spans="1:12" x14ac:dyDescent="0.35">
      <c r="A432" s="20" t="str">
        <f>"CC-MC-"&amp;TEXT(1086,"0000")</f>
        <v>CC-MC-1086</v>
      </c>
      <c r="B432" s="21" t="str">
        <f>"Causación Compra"</f>
        <v>Causación Compra</v>
      </c>
      <c r="C432" s="22">
        <f ca="1">mercancia!B88</f>
        <v>46058</v>
      </c>
      <c r="D432" s="68" t="str">
        <f>"143505"</f>
        <v>143505</v>
      </c>
      <c r="E432" s="21" t="str">
        <f>"Mercancías no fabricadas por la empresa"</f>
        <v>Mercancías no fabricadas por la empresa</v>
      </c>
      <c r="F432" s="21" t="str">
        <f ca="1">mercancia!C88</f>
        <v>Tubos y Conexiones Envigado Ltda.</v>
      </c>
      <c r="G432" s="23" t="str" cm="1">
        <f t="array" aca="1" ref="G432" ca="1">INDIRECT("mercancia!D"&amp;(INT((ROW()-2)/5)+2))</f>
        <v>901.012.345-0</v>
      </c>
      <c r="H432" s="21" t="str">
        <f>CHOOSE(MOD(86,3)+1,"CC-100 Bodega Central","CC-101 Sucursal Centro","CC-102 Sucursal Itagüí")</f>
        <v>CC-102 Sucursal Itagüí</v>
      </c>
      <c r="I432" s="21" t="str">
        <f ca="1">"Compra mercancía - "&amp;mercancia!E88&amp;" - "&amp;mercancia!A88</f>
        <v>Compra mercancía - Pinturas y Acabados Aburrá S.A.S. - FE-1087</v>
      </c>
      <c r="J432" s="24">
        <f ca="1">mercancia!H88</f>
        <v>4949600</v>
      </c>
      <c r="K432" s="24">
        <f>0</f>
        <v>0</v>
      </c>
      <c r="L432" s="25" t="str">
        <f>mercancia!A88</f>
        <v>FE-1087</v>
      </c>
    </row>
    <row r="433" spans="1:12" x14ac:dyDescent="0.35">
      <c r="A433" s="20" t="str">
        <f>"CC-MC-"&amp;TEXT(1086,"0000")</f>
        <v>CC-MC-1086</v>
      </c>
      <c r="B433" s="21" t="str">
        <f>"Causación Compra"</f>
        <v>Causación Compra</v>
      </c>
      <c r="C433" s="22">
        <f ca="1">mercancia!B88</f>
        <v>46058</v>
      </c>
      <c r="D433" s="68" t="str">
        <f>"240805"</f>
        <v>240805</v>
      </c>
      <c r="E433" s="21" t="str">
        <f>"IVA descontable - 19%"</f>
        <v>IVA descontable - 19%</v>
      </c>
      <c r="F433" s="21" t="str">
        <f ca="1">mercancia!C88</f>
        <v>Tubos y Conexiones Envigado Ltda.</v>
      </c>
      <c r="G433" s="23" t="str" cm="1">
        <f t="array" aca="1" ref="G433" ca="1">INDIRECT("mercancia!D"&amp;(INT((ROW()-2)/5)+2))</f>
        <v>901.012.345-0</v>
      </c>
      <c r="H433" s="21" t="str">
        <f>CHOOSE(MOD(86,3)+1,"CC-100 Bodega Central","CC-101 Sucursal Centro","CC-102 Sucursal Itagüí")</f>
        <v>CC-102 Sucursal Itagüí</v>
      </c>
      <c r="I433" s="21" t="str">
        <f>"IVA descontable factura "&amp;mercancia!A88</f>
        <v>IVA descontable factura FE-1087</v>
      </c>
      <c r="J433" s="24">
        <f ca="1">mercancia!I88</f>
        <v>940424</v>
      </c>
      <c r="K433" s="24">
        <f>0</f>
        <v>0</v>
      </c>
      <c r="L433" s="25" t="str">
        <f>mercancia!A88</f>
        <v>FE-1087</v>
      </c>
    </row>
    <row r="434" spans="1:12" x14ac:dyDescent="0.35">
      <c r="A434" s="20" t="str">
        <f>"CC-MC-"&amp;TEXT(1086,"0000")</f>
        <v>CC-MC-1086</v>
      </c>
      <c r="B434" s="21" t="str">
        <f>"Causación Compra"</f>
        <v>Causación Compra</v>
      </c>
      <c r="C434" s="22">
        <f ca="1">mercancia!B88</f>
        <v>46058</v>
      </c>
      <c r="D434" s="68" t="str">
        <f>"236540"</f>
        <v>236540</v>
      </c>
      <c r="E434" s="21" t="str">
        <f>"Retención en la fuente - Compras"</f>
        <v>Retención en la fuente - Compras</v>
      </c>
      <c r="F434" s="21" t="str">
        <f ca="1">mercancia!C88</f>
        <v>Tubos y Conexiones Envigado Ltda.</v>
      </c>
      <c r="G434" s="23" t="str" cm="1">
        <f t="array" aca="1" ref="G434" ca="1">INDIRECT("mercancia!D"&amp;(INT((ROW()-2)/5)+2))</f>
        <v>901.012.345-0</v>
      </c>
      <c r="H434" s="21" t="str">
        <f>CHOOSE(MOD(86,3)+1,"CC-100 Bodega Central","CC-101 Sucursal Centro","CC-102 Sucursal Itagüí")</f>
        <v>CC-102 Sucursal Itagüí</v>
      </c>
      <c r="I434" s="21" t="str">
        <f ca="1">"ReteFuente "&amp;TEXT(mercancia!K88,"0.0%")&amp;" sobre compra "&amp;mercancia!A88</f>
        <v>ReteFuente 04% sobre compra FE-1087</v>
      </c>
      <c r="J434" s="24">
        <f>0</f>
        <v>0</v>
      </c>
      <c r="K434" s="24">
        <f ca="1">mercancia!L88</f>
        <v>173236</v>
      </c>
      <c r="L434" s="25" t="str">
        <f>mercancia!A88</f>
        <v>FE-1087</v>
      </c>
    </row>
    <row r="435" spans="1:12" x14ac:dyDescent="0.35">
      <c r="A435" s="20" t="str">
        <f>"CC-MC-"&amp;TEXT(1086,"0000")</f>
        <v>CC-MC-1086</v>
      </c>
      <c r="B435" s="21" t="str">
        <f>"Causación Compra"</f>
        <v>Causación Compra</v>
      </c>
      <c r="C435" s="22">
        <f ca="1">mercancia!B88</f>
        <v>46058</v>
      </c>
      <c r="D435" s="68" t="str">
        <f>"236805"</f>
        <v>236805</v>
      </c>
      <c r="E435" s="21" t="str">
        <f>"Retención ICA - Medellín 11.04‰"</f>
        <v>Retención ICA - Medellín 11.04‰</v>
      </c>
      <c r="F435" s="21" t="str">
        <f ca="1">mercancia!C88</f>
        <v>Tubos y Conexiones Envigado Ltda.</v>
      </c>
      <c r="G435" s="23" t="str" cm="1">
        <f t="array" aca="1" ref="G435" ca="1">INDIRECT("mercancia!D"&amp;(INT((ROW()-2)/5)+2))</f>
        <v>901.012.345-0</v>
      </c>
      <c r="H435" s="21" t="str">
        <f>CHOOSE(MOD(86,3)+1,"CC-100 Bodega Central","CC-101 Sucursal Centro","CC-102 Sucursal Itagüí")</f>
        <v>CC-102 Sucursal Itagüí</v>
      </c>
      <c r="I435" s="21" t="str">
        <f>"ReteICA Medellín sobre compra "&amp;mercancia!A88</f>
        <v>ReteICA Medellín sobre compra FE-1087</v>
      </c>
      <c r="J435" s="24">
        <f>0</f>
        <v>0</v>
      </c>
      <c r="K435" s="24">
        <f ca="1">mercancia!N88</f>
        <v>54644</v>
      </c>
      <c r="L435" s="25" t="str">
        <f>mercancia!A88</f>
        <v>FE-1087</v>
      </c>
    </row>
    <row r="436" spans="1:12" x14ac:dyDescent="0.35">
      <c r="A436" s="20" t="str">
        <f>"CC-MC-"&amp;TEXT(1086,"0000")</f>
        <v>CC-MC-1086</v>
      </c>
      <c r="B436" s="21" t="str">
        <f>"Causación Compra"</f>
        <v>Causación Compra</v>
      </c>
      <c r="C436" s="22">
        <f ca="1">mercancia!B88</f>
        <v>46058</v>
      </c>
      <c r="D436" s="68" t="str">
        <f>"220505"</f>
        <v>220505</v>
      </c>
      <c r="E436" s="21" t="str">
        <f>"Proveedores nacionales"</f>
        <v>Proveedores nacionales</v>
      </c>
      <c r="F436" s="21" t="str">
        <f ca="1">mercancia!C88</f>
        <v>Tubos y Conexiones Envigado Ltda.</v>
      </c>
      <c r="G436" s="23" t="str" cm="1">
        <f t="array" aca="1" ref="G436" ca="1">INDIRECT("mercancia!D"&amp;(INT((ROW()-2)/5)+2))</f>
        <v>901.012.345-0</v>
      </c>
      <c r="H436" s="21" t="str">
        <f>CHOOSE(MOD(86,3)+1,"CC-100 Bodega Central","CC-101 Sucursal Centro","CC-102 Sucursal Itagüí")</f>
        <v>CC-102 Sucursal Itagüí</v>
      </c>
      <c r="I436" s="21" t="str">
        <f>"Cuenta por pagar proveedor - "&amp;mercancia!A88</f>
        <v>Cuenta por pagar proveedor - FE-1087</v>
      </c>
      <c r="J436" s="24">
        <f>0</f>
        <v>0</v>
      </c>
      <c r="K436" s="24">
        <f ca="1">mercancia!O88</f>
        <v>5662144</v>
      </c>
      <c r="L436" s="25" t="str">
        <f>mercancia!A88</f>
        <v>FE-1087</v>
      </c>
    </row>
    <row r="437" spans="1:12" x14ac:dyDescent="0.35">
      <c r="A437" s="26" t="str">
        <f>"CC-MC-"&amp;TEXT(1087,"0000")</f>
        <v>CC-MC-1087</v>
      </c>
      <c r="B437" s="27" t="str">
        <f>"Causación Compra"</f>
        <v>Causación Compra</v>
      </c>
      <c r="C437" s="28">
        <f ca="1">mercancia!B89</f>
        <v>46099</v>
      </c>
      <c r="D437" s="69" t="str">
        <f>"143505"</f>
        <v>143505</v>
      </c>
      <c r="E437" s="27" t="str">
        <f>"Mercancías no fabricadas por la empresa"</f>
        <v>Mercancías no fabricadas por la empresa</v>
      </c>
      <c r="F437" s="27" t="str">
        <f ca="1">mercancia!C89</f>
        <v>Distribuciones Itagüí Ferretera Ltda.</v>
      </c>
      <c r="G437" s="29" t="str" cm="1">
        <f t="array" aca="1" ref="G437" ca="1">INDIRECT("mercancia!D"&amp;(INT((ROW()-2)/5)+2))</f>
        <v>901.456.789-4</v>
      </c>
      <c r="H437" s="27" t="str">
        <f>CHOOSE(MOD(87,3)+1,"CC-100 Bodega Central","CC-101 Sucursal Centro","CC-102 Sucursal Itagüí")</f>
        <v>CC-100 Bodega Central</v>
      </c>
      <c r="I437" s="27" t="str">
        <f ca="1">"Compra mercancía - "&amp;mercancia!E89&amp;" - "&amp;mercancia!A89</f>
        <v>Compra mercancía - Cementos y Materiales Paisa S.A. - FE-1088</v>
      </c>
      <c r="J437" s="30">
        <f ca="1">mercancia!H89</f>
        <v>15793200</v>
      </c>
      <c r="K437" s="30">
        <f>0</f>
        <v>0</v>
      </c>
      <c r="L437" s="31" t="str">
        <f>mercancia!A89</f>
        <v>FE-1088</v>
      </c>
    </row>
    <row r="438" spans="1:12" x14ac:dyDescent="0.35">
      <c r="A438" s="26" t="str">
        <f>"CC-MC-"&amp;TEXT(1087,"0000")</f>
        <v>CC-MC-1087</v>
      </c>
      <c r="B438" s="27" t="str">
        <f>"Causación Compra"</f>
        <v>Causación Compra</v>
      </c>
      <c r="C438" s="28">
        <f ca="1">mercancia!B89</f>
        <v>46099</v>
      </c>
      <c r="D438" s="69" t="str">
        <f>"240805"</f>
        <v>240805</v>
      </c>
      <c r="E438" s="27" t="str">
        <f>"IVA descontable - 19%"</f>
        <v>IVA descontable - 19%</v>
      </c>
      <c r="F438" s="27" t="str">
        <f ca="1">mercancia!C89</f>
        <v>Distribuciones Itagüí Ferretera Ltda.</v>
      </c>
      <c r="G438" s="29" t="str" cm="1">
        <f t="array" aca="1" ref="G438" ca="1">INDIRECT("mercancia!D"&amp;(INT((ROW()-2)/5)+2))</f>
        <v>901.456.789-4</v>
      </c>
      <c r="H438" s="27" t="str">
        <f>CHOOSE(MOD(87,3)+1,"CC-100 Bodega Central","CC-101 Sucursal Centro","CC-102 Sucursal Itagüí")</f>
        <v>CC-100 Bodega Central</v>
      </c>
      <c r="I438" s="27" t="str">
        <f>"IVA descontable factura "&amp;mercancia!A89</f>
        <v>IVA descontable factura FE-1088</v>
      </c>
      <c r="J438" s="30">
        <f ca="1">mercancia!I89</f>
        <v>3000708</v>
      </c>
      <c r="K438" s="30">
        <f>0</f>
        <v>0</v>
      </c>
      <c r="L438" s="31" t="str">
        <f>mercancia!A89</f>
        <v>FE-1088</v>
      </c>
    </row>
    <row r="439" spans="1:12" x14ac:dyDescent="0.35">
      <c r="A439" s="26" t="str">
        <f>"CC-MC-"&amp;TEXT(1087,"0000")</f>
        <v>CC-MC-1087</v>
      </c>
      <c r="B439" s="27" t="str">
        <f>"Causación Compra"</f>
        <v>Causación Compra</v>
      </c>
      <c r="C439" s="28">
        <f ca="1">mercancia!B89</f>
        <v>46099</v>
      </c>
      <c r="D439" s="69" t="str">
        <f>"236540"</f>
        <v>236540</v>
      </c>
      <c r="E439" s="27" t="str">
        <f>"Retención en la fuente - Compras"</f>
        <v>Retención en la fuente - Compras</v>
      </c>
      <c r="F439" s="27" t="str">
        <f ca="1">mercancia!C89</f>
        <v>Distribuciones Itagüí Ferretera Ltda.</v>
      </c>
      <c r="G439" s="29" t="str" cm="1">
        <f t="array" aca="1" ref="G439" ca="1">INDIRECT("mercancia!D"&amp;(INT((ROW()-2)/5)+2))</f>
        <v>901.456.789-4</v>
      </c>
      <c r="H439" s="27" t="str">
        <f>CHOOSE(MOD(87,3)+1,"CC-100 Bodega Central","CC-101 Sucursal Centro","CC-102 Sucursal Itagüí")</f>
        <v>CC-100 Bodega Central</v>
      </c>
      <c r="I439" s="27" t="str">
        <f ca="1">"ReteFuente "&amp;TEXT(mercancia!K89,"0.0%")&amp;" sobre compra "&amp;mercancia!A89</f>
        <v>ReteFuente 04% sobre compra FE-1088</v>
      </c>
      <c r="J439" s="30">
        <f>0</f>
        <v>0</v>
      </c>
      <c r="K439" s="30">
        <f ca="1">mercancia!L89</f>
        <v>552762</v>
      </c>
      <c r="L439" s="31" t="str">
        <f>mercancia!A89</f>
        <v>FE-1088</v>
      </c>
    </row>
    <row r="440" spans="1:12" x14ac:dyDescent="0.35">
      <c r="A440" s="26" t="str">
        <f>"CC-MC-"&amp;TEXT(1087,"0000")</f>
        <v>CC-MC-1087</v>
      </c>
      <c r="B440" s="27" t="str">
        <f>"Causación Compra"</f>
        <v>Causación Compra</v>
      </c>
      <c r="C440" s="28">
        <f ca="1">mercancia!B89</f>
        <v>46099</v>
      </c>
      <c r="D440" s="69" t="str">
        <f>"236805"</f>
        <v>236805</v>
      </c>
      <c r="E440" s="27" t="str">
        <f>"Retención ICA - Medellín 11.04‰"</f>
        <v>Retención ICA - Medellín 11.04‰</v>
      </c>
      <c r="F440" s="27" t="str">
        <f ca="1">mercancia!C89</f>
        <v>Distribuciones Itagüí Ferretera Ltda.</v>
      </c>
      <c r="G440" s="29" t="str" cm="1">
        <f t="array" aca="1" ref="G440" ca="1">INDIRECT("mercancia!D"&amp;(INT((ROW()-2)/5)+2))</f>
        <v>901.456.789-4</v>
      </c>
      <c r="H440" s="27" t="str">
        <f>CHOOSE(MOD(87,3)+1,"CC-100 Bodega Central","CC-101 Sucursal Centro","CC-102 Sucursal Itagüí")</f>
        <v>CC-100 Bodega Central</v>
      </c>
      <c r="I440" s="27" t="str">
        <f>"ReteICA Medellín sobre compra "&amp;mercancia!A89</f>
        <v>ReteICA Medellín sobre compra FE-1088</v>
      </c>
      <c r="J440" s="30">
        <f>0</f>
        <v>0</v>
      </c>
      <c r="K440" s="30">
        <f ca="1">mercancia!N89</f>
        <v>174357</v>
      </c>
      <c r="L440" s="31" t="str">
        <f>mercancia!A89</f>
        <v>FE-1088</v>
      </c>
    </row>
    <row r="441" spans="1:12" x14ac:dyDescent="0.35">
      <c r="A441" s="26" t="str">
        <f>"CC-MC-"&amp;TEXT(1087,"0000")</f>
        <v>CC-MC-1087</v>
      </c>
      <c r="B441" s="27" t="str">
        <f>"Causación Compra"</f>
        <v>Causación Compra</v>
      </c>
      <c r="C441" s="28">
        <f ca="1">mercancia!B89</f>
        <v>46099</v>
      </c>
      <c r="D441" s="69" t="str">
        <f>"220505"</f>
        <v>220505</v>
      </c>
      <c r="E441" s="27" t="str">
        <f>"Proveedores nacionales"</f>
        <v>Proveedores nacionales</v>
      </c>
      <c r="F441" s="27" t="str">
        <f ca="1">mercancia!C89</f>
        <v>Distribuciones Itagüí Ferretera Ltda.</v>
      </c>
      <c r="G441" s="29" t="str" cm="1">
        <f t="array" aca="1" ref="G441" ca="1">INDIRECT("mercancia!D"&amp;(INT((ROW()-2)/5)+2))</f>
        <v>901.456.789-4</v>
      </c>
      <c r="H441" s="27" t="str">
        <f>CHOOSE(MOD(87,3)+1,"CC-100 Bodega Central","CC-101 Sucursal Centro","CC-102 Sucursal Itagüí")</f>
        <v>CC-100 Bodega Central</v>
      </c>
      <c r="I441" s="27" t="str">
        <f>"Cuenta por pagar proveedor - "&amp;mercancia!A89</f>
        <v>Cuenta por pagar proveedor - FE-1088</v>
      </c>
      <c r="J441" s="30">
        <f>0</f>
        <v>0</v>
      </c>
      <c r="K441" s="30">
        <f ca="1">mercancia!O89</f>
        <v>18066789</v>
      </c>
      <c r="L441" s="31" t="str">
        <f>mercancia!A89</f>
        <v>FE-1088</v>
      </c>
    </row>
    <row r="442" spans="1:12" x14ac:dyDescent="0.35">
      <c r="A442" s="20" t="str">
        <f>"CC-MC-"&amp;TEXT(1088,"0000")</f>
        <v>CC-MC-1088</v>
      </c>
      <c r="B442" s="21" t="str">
        <f>"Causación Compra"</f>
        <v>Causación Compra</v>
      </c>
      <c r="C442" s="22">
        <f ca="1">mercancia!B90</f>
        <v>46049</v>
      </c>
      <c r="D442" s="68" t="str">
        <f>"143505"</f>
        <v>143505</v>
      </c>
      <c r="E442" s="21" t="str">
        <f>"Mercancías no fabricadas por la empresa"</f>
        <v>Mercancías no fabricadas por la empresa</v>
      </c>
      <c r="F442" s="21" t="str">
        <f ca="1">mercancia!C90</f>
        <v>Distribuciones Itagüí Ferretera Ltda.</v>
      </c>
      <c r="G442" s="23" t="str" cm="1">
        <f t="array" aca="1" ref="G442" ca="1">INDIRECT("mercancia!D"&amp;(INT((ROW()-2)/5)+2))</f>
        <v>901.456.789-4</v>
      </c>
      <c r="H442" s="21" t="str">
        <f>CHOOSE(MOD(88,3)+1,"CC-100 Bodega Central","CC-101 Sucursal Centro","CC-102 Sucursal Itagüí")</f>
        <v>CC-101 Sucursal Centro</v>
      </c>
      <c r="I442" s="21" t="str">
        <f ca="1">"Compra mercancía - "&amp;mercancia!E90&amp;" - "&amp;mercancia!A90</f>
        <v>Compra mercancía - Cementos y Materiales Paisa S.A. - FE-1089</v>
      </c>
      <c r="J442" s="24">
        <f ca="1">mercancia!H90</f>
        <v>532800</v>
      </c>
      <c r="K442" s="24">
        <f>0</f>
        <v>0</v>
      </c>
      <c r="L442" s="25" t="str">
        <f>mercancia!A90</f>
        <v>FE-1089</v>
      </c>
    </row>
    <row r="443" spans="1:12" x14ac:dyDescent="0.35">
      <c r="A443" s="20" t="str">
        <f>"CC-MC-"&amp;TEXT(1088,"0000")</f>
        <v>CC-MC-1088</v>
      </c>
      <c r="B443" s="21" t="str">
        <f>"Causación Compra"</f>
        <v>Causación Compra</v>
      </c>
      <c r="C443" s="22">
        <f ca="1">mercancia!B90</f>
        <v>46049</v>
      </c>
      <c r="D443" s="68" t="str">
        <f>"240805"</f>
        <v>240805</v>
      </c>
      <c r="E443" s="21" t="str">
        <f>"IVA descontable - 19%"</f>
        <v>IVA descontable - 19%</v>
      </c>
      <c r="F443" s="21" t="str">
        <f ca="1">mercancia!C90</f>
        <v>Distribuciones Itagüí Ferretera Ltda.</v>
      </c>
      <c r="G443" s="23" t="str" cm="1">
        <f t="array" aca="1" ref="G443" ca="1">INDIRECT("mercancia!D"&amp;(INT((ROW()-2)/5)+2))</f>
        <v>901.456.789-4</v>
      </c>
      <c r="H443" s="21" t="str">
        <f>CHOOSE(MOD(88,3)+1,"CC-100 Bodega Central","CC-101 Sucursal Centro","CC-102 Sucursal Itagüí")</f>
        <v>CC-101 Sucursal Centro</v>
      </c>
      <c r="I443" s="21" t="str">
        <f>"IVA descontable factura "&amp;mercancia!A90</f>
        <v>IVA descontable factura FE-1089</v>
      </c>
      <c r="J443" s="24">
        <f ca="1">mercancia!I90</f>
        <v>101232</v>
      </c>
      <c r="K443" s="24">
        <f>0</f>
        <v>0</v>
      </c>
      <c r="L443" s="25" t="str">
        <f>mercancia!A90</f>
        <v>FE-1089</v>
      </c>
    </row>
    <row r="444" spans="1:12" x14ac:dyDescent="0.35">
      <c r="A444" s="20" t="str">
        <f>"CC-MC-"&amp;TEXT(1088,"0000")</f>
        <v>CC-MC-1088</v>
      </c>
      <c r="B444" s="21" t="str">
        <f>"Causación Compra"</f>
        <v>Causación Compra</v>
      </c>
      <c r="C444" s="22">
        <f ca="1">mercancia!B90</f>
        <v>46049</v>
      </c>
      <c r="D444" s="68" t="str">
        <f>"236540"</f>
        <v>236540</v>
      </c>
      <c r="E444" s="21" t="str">
        <f>"Retención en la fuente - Compras"</f>
        <v>Retención en la fuente - Compras</v>
      </c>
      <c r="F444" s="21" t="str">
        <f ca="1">mercancia!C90</f>
        <v>Distribuciones Itagüí Ferretera Ltda.</v>
      </c>
      <c r="G444" s="23" t="str" cm="1">
        <f t="array" aca="1" ref="G444" ca="1">INDIRECT("mercancia!D"&amp;(INT((ROW()-2)/5)+2))</f>
        <v>901.456.789-4</v>
      </c>
      <c r="H444" s="21" t="str">
        <f>CHOOSE(MOD(88,3)+1,"CC-100 Bodega Central","CC-101 Sucursal Centro","CC-102 Sucursal Itagüí")</f>
        <v>CC-101 Sucursal Centro</v>
      </c>
      <c r="I444" s="21" t="str">
        <f ca="1">"ReteFuente "&amp;TEXT(mercancia!K90,"0.0%")&amp;" sobre compra "&amp;mercancia!A90</f>
        <v>ReteFuente 04% sobre compra FE-1089</v>
      </c>
      <c r="J444" s="24">
        <f>0</f>
        <v>0</v>
      </c>
      <c r="K444" s="24">
        <f ca="1">mercancia!L90</f>
        <v>18648</v>
      </c>
      <c r="L444" s="25" t="str">
        <f>mercancia!A90</f>
        <v>FE-1089</v>
      </c>
    </row>
    <row r="445" spans="1:12" x14ac:dyDescent="0.35">
      <c r="A445" s="20" t="str">
        <f>"CC-MC-"&amp;TEXT(1088,"0000")</f>
        <v>CC-MC-1088</v>
      </c>
      <c r="B445" s="21" t="str">
        <f>"Causación Compra"</f>
        <v>Causación Compra</v>
      </c>
      <c r="C445" s="22">
        <f ca="1">mercancia!B90</f>
        <v>46049</v>
      </c>
      <c r="D445" s="68" t="str">
        <f>"236805"</f>
        <v>236805</v>
      </c>
      <c r="E445" s="21" t="str">
        <f>"Retención ICA - Medellín 11.04‰"</f>
        <v>Retención ICA - Medellín 11.04‰</v>
      </c>
      <c r="F445" s="21" t="str">
        <f ca="1">mercancia!C90</f>
        <v>Distribuciones Itagüí Ferretera Ltda.</v>
      </c>
      <c r="G445" s="23" t="str" cm="1">
        <f t="array" aca="1" ref="G445" ca="1">INDIRECT("mercancia!D"&amp;(INT((ROW()-2)/5)+2))</f>
        <v>901.456.789-4</v>
      </c>
      <c r="H445" s="21" t="str">
        <f>CHOOSE(MOD(88,3)+1,"CC-100 Bodega Central","CC-101 Sucursal Centro","CC-102 Sucursal Itagüí")</f>
        <v>CC-101 Sucursal Centro</v>
      </c>
      <c r="I445" s="21" t="str">
        <f>"ReteICA Medellín sobre compra "&amp;mercancia!A90</f>
        <v>ReteICA Medellín sobre compra FE-1089</v>
      </c>
      <c r="J445" s="24">
        <f>0</f>
        <v>0</v>
      </c>
      <c r="K445" s="24">
        <f ca="1">mercancia!N90</f>
        <v>5882</v>
      </c>
      <c r="L445" s="25" t="str">
        <f>mercancia!A90</f>
        <v>FE-1089</v>
      </c>
    </row>
    <row r="446" spans="1:12" x14ac:dyDescent="0.35">
      <c r="A446" s="20" t="str">
        <f>"CC-MC-"&amp;TEXT(1088,"0000")</f>
        <v>CC-MC-1088</v>
      </c>
      <c r="B446" s="21" t="str">
        <f>"Causación Compra"</f>
        <v>Causación Compra</v>
      </c>
      <c r="C446" s="22">
        <f ca="1">mercancia!B90</f>
        <v>46049</v>
      </c>
      <c r="D446" s="68" t="str">
        <f>"220505"</f>
        <v>220505</v>
      </c>
      <c r="E446" s="21" t="str">
        <f>"Proveedores nacionales"</f>
        <v>Proveedores nacionales</v>
      </c>
      <c r="F446" s="21" t="str">
        <f ca="1">mercancia!C90</f>
        <v>Distribuciones Itagüí Ferretera Ltda.</v>
      </c>
      <c r="G446" s="23" t="str" cm="1">
        <f t="array" aca="1" ref="G446" ca="1">INDIRECT("mercancia!D"&amp;(INT((ROW()-2)/5)+2))</f>
        <v>901.456.789-4</v>
      </c>
      <c r="H446" s="21" t="str">
        <f>CHOOSE(MOD(88,3)+1,"CC-100 Bodega Central","CC-101 Sucursal Centro","CC-102 Sucursal Itagüí")</f>
        <v>CC-101 Sucursal Centro</v>
      </c>
      <c r="I446" s="21" t="str">
        <f>"Cuenta por pagar proveedor - "&amp;mercancia!A90</f>
        <v>Cuenta por pagar proveedor - FE-1089</v>
      </c>
      <c r="J446" s="24">
        <f>0</f>
        <v>0</v>
      </c>
      <c r="K446" s="24">
        <f ca="1">mercancia!O90</f>
        <v>609502</v>
      </c>
      <c r="L446" s="25" t="str">
        <f>mercancia!A90</f>
        <v>FE-1089</v>
      </c>
    </row>
    <row r="447" spans="1:12" x14ac:dyDescent="0.35">
      <c r="A447" s="26" t="str">
        <f>"CC-MC-"&amp;TEXT(1089,"0000")</f>
        <v>CC-MC-1089</v>
      </c>
      <c r="B447" s="27" t="str">
        <f>"Causación Compra"</f>
        <v>Causación Compra</v>
      </c>
      <c r="C447" s="28">
        <f ca="1">mercancia!B91</f>
        <v>46052</v>
      </c>
      <c r="D447" s="69" t="str">
        <f>"143505"</f>
        <v>143505</v>
      </c>
      <c r="E447" s="27" t="str">
        <f>"Mercancías no fabricadas por la empresa"</f>
        <v>Mercancías no fabricadas por la empresa</v>
      </c>
      <c r="F447" s="27" t="str">
        <f ca="1">mercancia!C91</f>
        <v>Cementos y Materiales Paisa S.A.</v>
      </c>
      <c r="G447" s="29" t="str" cm="1">
        <f t="array" aca="1" ref="G447" ca="1">INDIRECT("mercancia!D"&amp;(INT((ROW()-2)/5)+2))</f>
        <v>900.456.789-4</v>
      </c>
      <c r="H447" s="27" t="str">
        <f>CHOOSE(MOD(89,3)+1,"CC-100 Bodega Central","CC-101 Sucursal Centro","CC-102 Sucursal Itagüí")</f>
        <v>CC-102 Sucursal Itagüí</v>
      </c>
      <c r="I447" s="27" t="str">
        <f ca="1">"Compra mercancía - "&amp;mercancia!E91&amp;" - "&amp;mercancia!A91</f>
        <v>Compra mercancía - Ferromax Colombia S.A.S. - FE-1090</v>
      </c>
      <c r="J447" s="30">
        <f ca="1">mercancia!H91</f>
        <v>10491800</v>
      </c>
      <c r="K447" s="30">
        <f>0</f>
        <v>0</v>
      </c>
      <c r="L447" s="31" t="str">
        <f>mercancia!A91</f>
        <v>FE-1090</v>
      </c>
    </row>
    <row r="448" spans="1:12" x14ac:dyDescent="0.35">
      <c r="A448" s="26" t="str">
        <f>"CC-MC-"&amp;TEXT(1089,"0000")</f>
        <v>CC-MC-1089</v>
      </c>
      <c r="B448" s="27" t="str">
        <f>"Causación Compra"</f>
        <v>Causación Compra</v>
      </c>
      <c r="C448" s="28">
        <f ca="1">mercancia!B91</f>
        <v>46052</v>
      </c>
      <c r="D448" s="69" t="str">
        <f>"240805"</f>
        <v>240805</v>
      </c>
      <c r="E448" s="27" t="str">
        <f>"IVA descontable - 19%"</f>
        <v>IVA descontable - 19%</v>
      </c>
      <c r="F448" s="27" t="str">
        <f ca="1">mercancia!C91</f>
        <v>Cementos y Materiales Paisa S.A.</v>
      </c>
      <c r="G448" s="29" t="str" cm="1">
        <f t="array" aca="1" ref="G448" ca="1">INDIRECT("mercancia!D"&amp;(INT((ROW()-2)/5)+2))</f>
        <v>900.456.789-4</v>
      </c>
      <c r="H448" s="27" t="str">
        <f>CHOOSE(MOD(89,3)+1,"CC-100 Bodega Central","CC-101 Sucursal Centro","CC-102 Sucursal Itagüí")</f>
        <v>CC-102 Sucursal Itagüí</v>
      </c>
      <c r="I448" s="27" t="str">
        <f>"IVA descontable factura "&amp;mercancia!A91</f>
        <v>IVA descontable factura FE-1090</v>
      </c>
      <c r="J448" s="30">
        <f ca="1">mercancia!I91</f>
        <v>1993442</v>
      </c>
      <c r="K448" s="30">
        <f>0</f>
        <v>0</v>
      </c>
      <c r="L448" s="31" t="str">
        <f>mercancia!A91</f>
        <v>FE-1090</v>
      </c>
    </row>
    <row r="449" spans="1:12" x14ac:dyDescent="0.35">
      <c r="A449" s="26" t="str">
        <f>"CC-MC-"&amp;TEXT(1089,"0000")</f>
        <v>CC-MC-1089</v>
      </c>
      <c r="B449" s="27" t="str">
        <f>"Causación Compra"</f>
        <v>Causación Compra</v>
      </c>
      <c r="C449" s="28">
        <f ca="1">mercancia!B91</f>
        <v>46052</v>
      </c>
      <c r="D449" s="69" t="str">
        <f>"236540"</f>
        <v>236540</v>
      </c>
      <c r="E449" s="27" t="str">
        <f>"Retención en la fuente - Compras"</f>
        <v>Retención en la fuente - Compras</v>
      </c>
      <c r="F449" s="27" t="str">
        <f ca="1">mercancia!C91</f>
        <v>Cementos y Materiales Paisa S.A.</v>
      </c>
      <c r="G449" s="29" t="str" cm="1">
        <f t="array" aca="1" ref="G449" ca="1">INDIRECT("mercancia!D"&amp;(INT((ROW()-2)/5)+2))</f>
        <v>900.456.789-4</v>
      </c>
      <c r="H449" s="27" t="str">
        <f>CHOOSE(MOD(89,3)+1,"CC-100 Bodega Central","CC-101 Sucursal Centro","CC-102 Sucursal Itagüí")</f>
        <v>CC-102 Sucursal Itagüí</v>
      </c>
      <c r="I449" s="27" t="str">
        <f ca="1">"ReteFuente "&amp;TEXT(mercancia!K91,"0.0%")&amp;" sobre compra "&amp;mercancia!A91</f>
        <v>ReteFuente 04% sobre compra FE-1090</v>
      </c>
      <c r="J449" s="30">
        <f>0</f>
        <v>0</v>
      </c>
      <c r="K449" s="30">
        <f ca="1">mercancia!L91</f>
        <v>367213</v>
      </c>
      <c r="L449" s="31" t="str">
        <f>mercancia!A91</f>
        <v>FE-1090</v>
      </c>
    </row>
    <row r="450" spans="1:12" x14ac:dyDescent="0.35">
      <c r="A450" s="26" t="str">
        <f>"CC-MC-"&amp;TEXT(1089,"0000")</f>
        <v>CC-MC-1089</v>
      </c>
      <c r="B450" s="27" t="str">
        <f>"Causación Compra"</f>
        <v>Causación Compra</v>
      </c>
      <c r="C450" s="28">
        <f ca="1">mercancia!B91</f>
        <v>46052</v>
      </c>
      <c r="D450" s="69" t="str">
        <f>"236805"</f>
        <v>236805</v>
      </c>
      <c r="E450" s="27" t="str">
        <f>"Retención ICA - Medellín 11.04‰"</f>
        <v>Retención ICA - Medellín 11.04‰</v>
      </c>
      <c r="F450" s="27" t="str">
        <f ca="1">mercancia!C91</f>
        <v>Cementos y Materiales Paisa S.A.</v>
      </c>
      <c r="G450" s="29" t="str" cm="1">
        <f t="array" aca="1" ref="G450" ca="1">INDIRECT("mercancia!D"&amp;(INT((ROW()-2)/5)+2))</f>
        <v>900.456.789-4</v>
      </c>
      <c r="H450" s="27" t="str">
        <f>CHOOSE(MOD(89,3)+1,"CC-100 Bodega Central","CC-101 Sucursal Centro","CC-102 Sucursal Itagüí")</f>
        <v>CC-102 Sucursal Itagüí</v>
      </c>
      <c r="I450" s="27" t="str">
        <f>"ReteICA Medellín sobre compra "&amp;mercancia!A91</f>
        <v>ReteICA Medellín sobre compra FE-1090</v>
      </c>
      <c r="J450" s="30">
        <f>0</f>
        <v>0</v>
      </c>
      <c r="K450" s="30">
        <f ca="1">mercancia!N91</f>
        <v>115829</v>
      </c>
      <c r="L450" s="31" t="str">
        <f>mercancia!A91</f>
        <v>FE-1090</v>
      </c>
    </row>
    <row r="451" spans="1:12" x14ac:dyDescent="0.35">
      <c r="A451" s="26" t="str">
        <f>"CC-MC-"&amp;TEXT(1089,"0000")</f>
        <v>CC-MC-1089</v>
      </c>
      <c r="B451" s="27" t="str">
        <f>"Causación Compra"</f>
        <v>Causación Compra</v>
      </c>
      <c r="C451" s="28">
        <f ca="1">mercancia!B91</f>
        <v>46052</v>
      </c>
      <c r="D451" s="69" t="str">
        <f>"220505"</f>
        <v>220505</v>
      </c>
      <c r="E451" s="27" t="str">
        <f>"Proveedores nacionales"</f>
        <v>Proveedores nacionales</v>
      </c>
      <c r="F451" s="27" t="str">
        <f ca="1">mercancia!C91</f>
        <v>Cementos y Materiales Paisa S.A.</v>
      </c>
      <c r="G451" s="29" t="str" cm="1">
        <f t="array" aca="1" ref="G451" ca="1">INDIRECT("mercancia!D"&amp;(INT((ROW()-2)/5)+2))</f>
        <v>900.456.789-4</v>
      </c>
      <c r="H451" s="27" t="str">
        <f>CHOOSE(MOD(89,3)+1,"CC-100 Bodega Central","CC-101 Sucursal Centro","CC-102 Sucursal Itagüí")</f>
        <v>CC-102 Sucursal Itagüí</v>
      </c>
      <c r="I451" s="27" t="str">
        <f>"Cuenta por pagar proveedor - "&amp;mercancia!A91</f>
        <v>Cuenta por pagar proveedor - FE-1090</v>
      </c>
      <c r="J451" s="30">
        <f>0</f>
        <v>0</v>
      </c>
      <c r="K451" s="30">
        <f ca="1">mercancia!O91</f>
        <v>12002200</v>
      </c>
      <c r="L451" s="31" t="str">
        <f>mercancia!A91</f>
        <v>FE-1090</v>
      </c>
    </row>
    <row r="452" spans="1:12" x14ac:dyDescent="0.35">
      <c r="A452" s="20" t="str">
        <f>"CC-MC-"&amp;TEXT(1090,"0000")</f>
        <v>CC-MC-1090</v>
      </c>
      <c r="B452" s="21" t="str">
        <f>"Causación Compra"</f>
        <v>Causación Compra</v>
      </c>
      <c r="C452" s="22">
        <f ca="1">mercancia!B92</f>
        <v>46047</v>
      </c>
      <c r="D452" s="68" t="str">
        <f>"143505"</f>
        <v>143505</v>
      </c>
      <c r="E452" s="21" t="str">
        <f>"Mercancías no fabricadas por la empresa"</f>
        <v>Mercancías no fabricadas por la empresa</v>
      </c>
      <c r="F452" s="21" t="str">
        <f ca="1">mercancia!C92</f>
        <v>Hierros y Mallas Bello S.A.S.</v>
      </c>
      <c r="G452" s="23" t="str" cm="1">
        <f t="array" aca="1" ref="G452" ca="1">INDIRECT("mercancia!D"&amp;(INT((ROW()-2)/5)+2))</f>
        <v>900.901.234-9</v>
      </c>
      <c r="H452" s="21" t="str">
        <f>CHOOSE(MOD(90,3)+1,"CC-100 Bodega Central","CC-101 Sucursal Centro","CC-102 Sucursal Itagüí")</f>
        <v>CC-100 Bodega Central</v>
      </c>
      <c r="I452" s="21" t="str">
        <f ca="1">"Compra mercancía - "&amp;mercancia!E92&amp;" - "&amp;mercancia!A92</f>
        <v>Compra mercancía - Tubos y Conexiones Envigado Ltda. - FE-1091</v>
      </c>
      <c r="J452" s="24">
        <f ca="1">mercancia!H92</f>
        <v>1378800</v>
      </c>
      <c r="K452" s="24">
        <f>0</f>
        <v>0</v>
      </c>
      <c r="L452" s="25" t="str">
        <f>mercancia!A92</f>
        <v>FE-1091</v>
      </c>
    </row>
    <row r="453" spans="1:12" x14ac:dyDescent="0.35">
      <c r="A453" s="20" t="str">
        <f>"CC-MC-"&amp;TEXT(1090,"0000")</f>
        <v>CC-MC-1090</v>
      </c>
      <c r="B453" s="21" t="str">
        <f>"Causación Compra"</f>
        <v>Causación Compra</v>
      </c>
      <c r="C453" s="22">
        <f ca="1">mercancia!B92</f>
        <v>46047</v>
      </c>
      <c r="D453" s="68" t="str">
        <f>"240805"</f>
        <v>240805</v>
      </c>
      <c r="E453" s="21" t="str">
        <f>"IVA descontable - 19%"</f>
        <v>IVA descontable - 19%</v>
      </c>
      <c r="F453" s="21" t="str">
        <f ca="1">mercancia!C92</f>
        <v>Hierros y Mallas Bello S.A.S.</v>
      </c>
      <c r="G453" s="23" t="str" cm="1">
        <f t="array" aca="1" ref="G453" ca="1">INDIRECT("mercancia!D"&amp;(INT((ROW()-2)/5)+2))</f>
        <v>900.901.234-9</v>
      </c>
      <c r="H453" s="21" t="str">
        <f>CHOOSE(MOD(90,3)+1,"CC-100 Bodega Central","CC-101 Sucursal Centro","CC-102 Sucursal Itagüí")</f>
        <v>CC-100 Bodega Central</v>
      </c>
      <c r="I453" s="21" t="str">
        <f>"IVA descontable factura "&amp;mercancia!A92</f>
        <v>IVA descontable factura FE-1091</v>
      </c>
      <c r="J453" s="24">
        <f ca="1">mercancia!I92</f>
        <v>261972</v>
      </c>
      <c r="K453" s="24">
        <f>0</f>
        <v>0</v>
      </c>
      <c r="L453" s="25" t="str">
        <f>mercancia!A92</f>
        <v>FE-1091</v>
      </c>
    </row>
    <row r="454" spans="1:12" x14ac:dyDescent="0.35">
      <c r="A454" s="20" t="str">
        <f>"CC-MC-"&amp;TEXT(1090,"0000")</f>
        <v>CC-MC-1090</v>
      </c>
      <c r="B454" s="21" t="str">
        <f>"Causación Compra"</f>
        <v>Causación Compra</v>
      </c>
      <c r="C454" s="22">
        <f ca="1">mercancia!B92</f>
        <v>46047</v>
      </c>
      <c r="D454" s="68" t="str">
        <f>"236540"</f>
        <v>236540</v>
      </c>
      <c r="E454" s="21" t="str">
        <f>"Retención en la fuente - Compras"</f>
        <v>Retención en la fuente - Compras</v>
      </c>
      <c r="F454" s="21" t="str">
        <f ca="1">mercancia!C92</f>
        <v>Hierros y Mallas Bello S.A.S.</v>
      </c>
      <c r="G454" s="23" t="str" cm="1">
        <f t="array" aca="1" ref="G454" ca="1">INDIRECT("mercancia!D"&amp;(INT((ROW()-2)/5)+2))</f>
        <v>900.901.234-9</v>
      </c>
      <c r="H454" s="21" t="str">
        <f>CHOOSE(MOD(90,3)+1,"CC-100 Bodega Central","CC-101 Sucursal Centro","CC-102 Sucursal Itagüí")</f>
        <v>CC-100 Bodega Central</v>
      </c>
      <c r="I454" s="21" t="str">
        <f ca="1">"ReteFuente "&amp;TEXT(mercancia!K92,"0.0%")&amp;" sobre compra "&amp;mercancia!A92</f>
        <v>ReteFuente 04% sobre compra FE-1091</v>
      </c>
      <c r="J454" s="24">
        <f>0</f>
        <v>0</v>
      </c>
      <c r="K454" s="24">
        <f ca="1">mercancia!L92</f>
        <v>48258</v>
      </c>
      <c r="L454" s="25" t="str">
        <f>mercancia!A92</f>
        <v>FE-1091</v>
      </c>
    </row>
    <row r="455" spans="1:12" x14ac:dyDescent="0.35">
      <c r="A455" s="20" t="str">
        <f>"CC-MC-"&amp;TEXT(1090,"0000")</f>
        <v>CC-MC-1090</v>
      </c>
      <c r="B455" s="21" t="str">
        <f>"Causación Compra"</f>
        <v>Causación Compra</v>
      </c>
      <c r="C455" s="22">
        <f ca="1">mercancia!B92</f>
        <v>46047</v>
      </c>
      <c r="D455" s="68" t="str">
        <f>"236805"</f>
        <v>236805</v>
      </c>
      <c r="E455" s="21" t="str">
        <f>"Retención ICA - Medellín 11.04‰"</f>
        <v>Retención ICA - Medellín 11.04‰</v>
      </c>
      <c r="F455" s="21" t="str">
        <f ca="1">mercancia!C92</f>
        <v>Hierros y Mallas Bello S.A.S.</v>
      </c>
      <c r="G455" s="23" t="str" cm="1">
        <f t="array" aca="1" ref="G455" ca="1">INDIRECT("mercancia!D"&amp;(INT((ROW()-2)/5)+2))</f>
        <v>900.901.234-9</v>
      </c>
      <c r="H455" s="21" t="str">
        <f>CHOOSE(MOD(90,3)+1,"CC-100 Bodega Central","CC-101 Sucursal Centro","CC-102 Sucursal Itagüí")</f>
        <v>CC-100 Bodega Central</v>
      </c>
      <c r="I455" s="21" t="str">
        <f>"ReteICA Medellín sobre compra "&amp;mercancia!A92</f>
        <v>ReteICA Medellín sobre compra FE-1091</v>
      </c>
      <c r="J455" s="24">
        <f>0</f>
        <v>0</v>
      </c>
      <c r="K455" s="24">
        <f ca="1">mercancia!N92</f>
        <v>15222</v>
      </c>
      <c r="L455" s="25" t="str">
        <f>mercancia!A92</f>
        <v>FE-1091</v>
      </c>
    </row>
    <row r="456" spans="1:12" x14ac:dyDescent="0.35">
      <c r="A456" s="20" t="str">
        <f>"CC-MC-"&amp;TEXT(1090,"0000")</f>
        <v>CC-MC-1090</v>
      </c>
      <c r="B456" s="21" t="str">
        <f>"Causación Compra"</f>
        <v>Causación Compra</v>
      </c>
      <c r="C456" s="22">
        <f ca="1">mercancia!B92</f>
        <v>46047</v>
      </c>
      <c r="D456" s="68" t="str">
        <f>"220505"</f>
        <v>220505</v>
      </c>
      <c r="E456" s="21" t="str">
        <f>"Proveedores nacionales"</f>
        <v>Proveedores nacionales</v>
      </c>
      <c r="F456" s="21" t="str">
        <f ca="1">mercancia!C92</f>
        <v>Hierros y Mallas Bello S.A.S.</v>
      </c>
      <c r="G456" s="23" t="str" cm="1">
        <f t="array" aca="1" ref="G456" ca="1">INDIRECT("mercancia!D"&amp;(INT((ROW()-2)/5)+2))</f>
        <v>900.901.234-9</v>
      </c>
      <c r="H456" s="21" t="str">
        <f>CHOOSE(MOD(90,3)+1,"CC-100 Bodega Central","CC-101 Sucursal Centro","CC-102 Sucursal Itagüí")</f>
        <v>CC-100 Bodega Central</v>
      </c>
      <c r="I456" s="21" t="str">
        <f>"Cuenta por pagar proveedor - "&amp;mercancia!A92</f>
        <v>Cuenta por pagar proveedor - FE-1091</v>
      </c>
      <c r="J456" s="24">
        <f>0</f>
        <v>0</v>
      </c>
      <c r="K456" s="24">
        <f ca="1">mercancia!O92</f>
        <v>1577292</v>
      </c>
      <c r="L456" s="25" t="str">
        <f>mercancia!A92</f>
        <v>FE-1091</v>
      </c>
    </row>
    <row r="457" spans="1:12" x14ac:dyDescent="0.35">
      <c r="A457" s="26" t="str">
        <f>"CC-MC-"&amp;TEXT(1091,"0000")</f>
        <v>CC-MC-1091</v>
      </c>
      <c r="B457" s="27" t="str">
        <f>"Causación Compra"</f>
        <v>Causación Compra</v>
      </c>
      <c r="C457" s="28">
        <f ca="1">mercancia!B93</f>
        <v>46098</v>
      </c>
      <c r="D457" s="69" t="str">
        <f>"143505"</f>
        <v>143505</v>
      </c>
      <c r="E457" s="27" t="str">
        <f>"Mercancías no fabricadas por la empresa"</f>
        <v>Mercancías no fabricadas por la empresa</v>
      </c>
      <c r="F457" s="27" t="str">
        <f ca="1">mercancia!C93</f>
        <v>Tubos y Conexiones Envigado Ltda.</v>
      </c>
      <c r="G457" s="29" t="str" cm="1">
        <f t="array" aca="1" ref="G457" ca="1">INDIRECT("mercancia!D"&amp;(INT((ROW()-2)/5)+2))</f>
        <v>901.012.345-0</v>
      </c>
      <c r="H457" s="27" t="str">
        <f>CHOOSE(MOD(91,3)+1,"CC-100 Bodega Central","CC-101 Sucursal Centro","CC-102 Sucursal Itagüí")</f>
        <v>CC-101 Sucursal Centro</v>
      </c>
      <c r="I457" s="27" t="str">
        <f ca="1">"Compra mercancía - "&amp;mercancia!E93&amp;" - "&amp;mercancia!A93</f>
        <v>Compra mercancía - Cemento blanco x 5 kg - FE-1092</v>
      </c>
      <c r="J457" s="30">
        <f ca="1">mercancia!H93</f>
        <v>16102400</v>
      </c>
      <c r="K457" s="30">
        <f>0</f>
        <v>0</v>
      </c>
      <c r="L457" s="31" t="str">
        <f>mercancia!A93</f>
        <v>FE-1092</v>
      </c>
    </row>
    <row r="458" spans="1:12" x14ac:dyDescent="0.35">
      <c r="A458" s="26" t="str">
        <f>"CC-MC-"&amp;TEXT(1091,"0000")</f>
        <v>CC-MC-1091</v>
      </c>
      <c r="B458" s="27" t="str">
        <f>"Causación Compra"</f>
        <v>Causación Compra</v>
      </c>
      <c r="C458" s="28">
        <f ca="1">mercancia!B93</f>
        <v>46098</v>
      </c>
      <c r="D458" s="69" t="str">
        <f>"240805"</f>
        <v>240805</v>
      </c>
      <c r="E458" s="27" t="str">
        <f>"IVA descontable - 19%"</f>
        <v>IVA descontable - 19%</v>
      </c>
      <c r="F458" s="27" t="str">
        <f ca="1">mercancia!C93</f>
        <v>Tubos y Conexiones Envigado Ltda.</v>
      </c>
      <c r="G458" s="29" t="str" cm="1">
        <f t="array" aca="1" ref="G458" ca="1">INDIRECT("mercancia!D"&amp;(INT((ROW()-2)/5)+2))</f>
        <v>901.012.345-0</v>
      </c>
      <c r="H458" s="27" t="str">
        <f>CHOOSE(MOD(91,3)+1,"CC-100 Bodega Central","CC-101 Sucursal Centro","CC-102 Sucursal Itagüí")</f>
        <v>CC-101 Sucursal Centro</v>
      </c>
      <c r="I458" s="27" t="str">
        <f>"IVA descontable factura "&amp;mercancia!A93</f>
        <v>IVA descontable factura FE-1092</v>
      </c>
      <c r="J458" s="30">
        <f ca="1">mercancia!I93</f>
        <v>3059456</v>
      </c>
      <c r="K458" s="30">
        <f>0</f>
        <v>0</v>
      </c>
      <c r="L458" s="31" t="str">
        <f>mercancia!A93</f>
        <v>FE-1092</v>
      </c>
    </row>
    <row r="459" spans="1:12" x14ac:dyDescent="0.35">
      <c r="A459" s="26" t="str">
        <f>"CC-MC-"&amp;TEXT(1091,"0000")</f>
        <v>CC-MC-1091</v>
      </c>
      <c r="B459" s="27" t="str">
        <f>"Causación Compra"</f>
        <v>Causación Compra</v>
      </c>
      <c r="C459" s="28">
        <f ca="1">mercancia!B93</f>
        <v>46098</v>
      </c>
      <c r="D459" s="69" t="str">
        <f>"236540"</f>
        <v>236540</v>
      </c>
      <c r="E459" s="27" t="str">
        <f>"Retención en la fuente - Compras"</f>
        <v>Retención en la fuente - Compras</v>
      </c>
      <c r="F459" s="27" t="str">
        <f ca="1">mercancia!C93</f>
        <v>Tubos y Conexiones Envigado Ltda.</v>
      </c>
      <c r="G459" s="29" t="str" cm="1">
        <f t="array" aca="1" ref="G459" ca="1">INDIRECT("mercancia!D"&amp;(INT((ROW()-2)/5)+2))</f>
        <v>901.012.345-0</v>
      </c>
      <c r="H459" s="27" t="str">
        <f>CHOOSE(MOD(91,3)+1,"CC-100 Bodega Central","CC-101 Sucursal Centro","CC-102 Sucursal Itagüí")</f>
        <v>CC-101 Sucursal Centro</v>
      </c>
      <c r="I459" s="27" t="str">
        <f ca="1">"ReteFuente "&amp;TEXT(mercancia!K93,"0.0%")&amp;" sobre compra "&amp;mercancia!A93</f>
        <v>ReteFuente 03% sobre compra FE-1092</v>
      </c>
      <c r="J459" s="30">
        <f>0</f>
        <v>0</v>
      </c>
      <c r="K459" s="30">
        <f ca="1">mercancia!L93</f>
        <v>402560</v>
      </c>
      <c r="L459" s="31" t="str">
        <f>mercancia!A93</f>
        <v>FE-1092</v>
      </c>
    </row>
    <row r="460" spans="1:12" x14ac:dyDescent="0.35">
      <c r="A460" s="26" t="str">
        <f>"CC-MC-"&amp;TEXT(1091,"0000")</f>
        <v>CC-MC-1091</v>
      </c>
      <c r="B460" s="27" t="str">
        <f>"Causación Compra"</f>
        <v>Causación Compra</v>
      </c>
      <c r="C460" s="28">
        <f ca="1">mercancia!B93</f>
        <v>46098</v>
      </c>
      <c r="D460" s="69" t="str">
        <f>"236805"</f>
        <v>236805</v>
      </c>
      <c r="E460" s="27" t="str">
        <f>"Retención ICA - Medellín 11.04‰"</f>
        <v>Retención ICA - Medellín 11.04‰</v>
      </c>
      <c r="F460" s="27" t="str">
        <f ca="1">mercancia!C93</f>
        <v>Tubos y Conexiones Envigado Ltda.</v>
      </c>
      <c r="G460" s="29" t="str" cm="1">
        <f t="array" aca="1" ref="G460" ca="1">INDIRECT("mercancia!D"&amp;(INT((ROW()-2)/5)+2))</f>
        <v>901.012.345-0</v>
      </c>
      <c r="H460" s="27" t="str">
        <f>CHOOSE(MOD(91,3)+1,"CC-100 Bodega Central","CC-101 Sucursal Centro","CC-102 Sucursal Itagüí")</f>
        <v>CC-101 Sucursal Centro</v>
      </c>
      <c r="I460" s="27" t="str">
        <f>"ReteICA Medellín sobre compra "&amp;mercancia!A93</f>
        <v>ReteICA Medellín sobre compra FE-1092</v>
      </c>
      <c r="J460" s="30">
        <f>0</f>
        <v>0</v>
      </c>
      <c r="K460" s="30">
        <f ca="1">mercancia!N93</f>
        <v>177770</v>
      </c>
      <c r="L460" s="31" t="str">
        <f>mercancia!A93</f>
        <v>FE-1092</v>
      </c>
    </row>
    <row r="461" spans="1:12" x14ac:dyDescent="0.35">
      <c r="A461" s="26" t="str">
        <f>"CC-MC-"&amp;TEXT(1091,"0000")</f>
        <v>CC-MC-1091</v>
      </c>
      <c r="B461" s="27" t="str">
        <f>"Causación Compra"</f>
        <v>Causación Compra</v>
      </c>
      <c r="C461" s="28">
        <f ca="1">mercancia!B93</f>
        <v>46098</v>
      </c>
      <c r="D461" s="69" t="str">
        <f>"220505"</f>
        <v>220505</v>
      </c>
      <c r="E461" s="27" t="str">
        <f>"Proveedores nacionales"</f>
        <v>Proveedores nacionales</v>
      </c>
      <c r="F461" s="27" t="str">
        <f ca="1">mercancia!C93</f>
        <v>Tubos y Conexiones Envigado Ltda.</v>
      </c>
      <c r="G461" s="29" t="str" cm="1">
        <f t="array" aca="1" ref="G461" ca="1">INDIRECT("mercancia!D"&amp;(INT((ROW()-2)/5)+2))</f>
        <v>901.012.345-0</v>
      </c>
      <c r="H461" s="27" t="str">
        <f>CHOOSE(MOD(91,3)+1,"CC-100 Bodega Central","CC-101 Sucursal Centro","CC-102 Sucursal Itagüí")</f>
        <v>CC-101 Sucursal Centro</v>
      </c>
      <c r="I461" s="27" t="str">
        <f>"Cuenta por pagar proveedor - "&amp;mercancia!A93</f>
        <v>Cuenta por pagar proveedor - FE-1092</v>
      </c>
      <c r="J461" s="30">
        <f>0</f>
        <v>0</v>
      </c>
      <c r="K461" s="30">
        <f ca="1">mercancia!O93</f>
        <v>18581526</v>
      </c>
      <c r="L461" s="31" t="str">
        <f>mercancia!A93</f>
        <v>FE-1092</v>
      </c>
    </row>
    <row r="462" spans="1:12" x14ac:dyDescent="0.35">
      <c r="A462" s="20" t="str">
        <f>"CC-MC-"&amp;TEXT(1092,"0000")</f>
        <v>CC-MC-1092</v>
      </c>
      <c r="B462" s="21" t="str">
        <f>"Causación Compra"</f>
        <v>Causación Compra</v>
      </c>
      <c r="C462" s="22">
        <f ca="1">mercancia!B94</f>
        <v>46074</v>
      </c>
      <c r="D462" s="68" t="str">
        <f>"143505"</f>
        <v>143505</v>
      </c>
      <c r="E462" s="21" t="str">
        <f>"Mercancías no fabricadas por la empresa"</f>
        <v>Mercancías no fabricadas por la empresa</v>
      </c>
      <c r="F462" s="21" t="str">
        <f ca="1">mercancia!C94</f>
        <v>Cementos y Materiales Paisa S.A.</v>
      </c>
      <c r="G462" s="23" t="str" cm="1">
        <f t="array" aca="1" ref="G462" ca="1">INDIRECT("mercancia!D"&amp;(INT((ROW()-2)/5)+2))</f>
        <v>900.456.789-4</v>
      </c>
      <c r="H462" s="21" t="str">
        <f>CHOOSE(MOD(92,3)+1,"CC-100 Bodega Central","CC-101 Sucursal Centro","CC-102 Sucursal Itagüí")</f>
        <v>CC-102 Sucursal Itagüí</v>
      </c>
      <c r="I462" s="21" t="str">
        <f ca="1">"Compra mercancía - "&amp;mercancia!E94&amp;" - "&amp;mercancia!A94</f>
        <v>Compra mercancía - Ladrillo tolete macizo - FE-1093</v>
      </c>
      <c r="J462" s="24">
        <f ca="1">mercancia!H94</f>
        <v>2300500</v>
      </c>
      <c r="K462" s="24">
        <f>0</f>
        <v>0</v>
      </c>
      <c r="L462" s="25" t="str">
        <f>mercancia!A94</f>
        <v>FE-1093</v>
      </c>
    </row>
    <row r="463" spans="1:12" x14ac:dyDescent="0.35">
      <c r="A463" s="20" t="str">
        <f>"CC-MC-"&amp;TEXT(1092,"0000")</f>
        <v>CC-MC-1092</v>
      </c>
      <c r="B463" s="21" t="str">
        <f>"Causación Compra"</f>
        <v>Causación Compra</v>
      </c>
      <c r="C463" s="22">
        <f ca="1">mercancia!B94</f>
        <v>46074</v>
      </c>
      <c r="D463" s="68" t="str">
        <f>"240805"</f>
        <v>240805</v>
      </c>
      <c r="E463" s="21" t="str">
        <f>"IVA descontable - 19%"</f>
        <v>IVA descontable - 19%</v>
      </c>
      <c r="F463" s="21" t="str">
        <f ca="1">mercancia!C94</f>
        <v>Cementos y Materiales Paisa S.A.</v>
      </c>
      <c r="G463" s="23" t="str" cm="1">
        <f t="array" aca="1" ref="G463" ca="1">INDIRECT("mercancia!D"&amp;(INT((ROW()-2)/5)+2))</f>
        <v>900.456.789-4</v>
      </c>
      <c r="H463" s="21" t="str">
        <f>CHOOSE(MOD(92,3)+1,"CC-100 Bodega Central","CC-101 Sucursal Centro","CC-102 Sucursal Itagüí")</f>
        <v>CC-102 Sucursal Itagüí</v>
      </c>
      <c r="I463" s="21" t="str">
        <f>"IVA descontable factura "&amp;mercancia!A94</f>
        <v>IVA descontable factura FE-1093</v>
      </c>
      <c r="J463" s="24">
        <f ca="1">mercancia!I94</f>
        <v>437095</v>
      </c>
      <c r="K463" s="24">
        <f>0</f>
        <v>0</v>
      </c>
      <c r="L463" s="25" t="str">
        <f>mercancia!A94</f>
        <v>FE-1093</v>
      </c>
    </row>
    <row r="464" spans="1:12" x14ac:dyDescent="0.35">
      <c r="A464" s="20" t="str">
        <f>"CC-MC-"&amp;TEXT(1092,"0000")</f>
        <v>CC-MC-1092</v>
      </c>
      <c r="B464" s="21" t="str">
        <f>"Causación Compra"</f>
        <v>Causación Compra</v>
      </c>
      <c r="C464" s="22">
        <f ca="1">mercancia!B94</f>
        <v>46074</v>
      </c>
      <c r="D464" s="68" t="str">
        <f>"236540"</f>
        <v>236540</v>
      </c>
      <c r="E464" s="21" t="str">
        <f>"Retención en la fuente - Compras"</f>
        <v>Retención en la fuente - Compras</v>
      </c>
      <c r="F464" s="21" t="str">
        <f ca="1">mercancia!C94</f>
        <v>Cementos y Materiales Paisa S.A.</v>
      </c>
      <c r="G464" s="23" t="str" cm="1">
        <f t="array" aca="1" ref="G464" ca="1">INDIRECT("mercancia!D"&amp;(INT((ROW()-2)/5)+2))</f>
        <v>900.456.789-4</v>
      </c>
      <c r="H464" s="21" t="str">
        <f>CHOOSE(MOD(92,3)+1,"CC-100 Bodega Central","CC-101 Sucursal Centro","CC-102 Sucursal Itagüí")</f>
        <v>CC-102 Sucursal Itagüí</v>
      </c>
      <c r="I464" s="21" t="str">
        <f ca="1">"ReteFuente "&amp;TEXT(mercancia!K94,"0.0%")&amp;" sobre compra "&amp;mercancia!A94</f>
        <v>ReteFuente 03% sobre compra FE-1093</v>
      </c>
      <c r="J464" s="24">
        <f>0</f>
        <v>0</v>
      </c>
      <c r="K464" s="24">
        <f ca="1">mercancia!L94</f>
        <v>57513</v>
      </c>
      <c r="L464" s="25" t="str">
        <f>mercancia!A94</f>
        <v>FE-1093</v>
      </c>
    </row>
    <row r="465" spans="1:12" x14ac:dyDescent="0.35">
      <c r="A465" s="20" t="str">
        <f>"CC-MC-"&amp;TEXT(1092,"0000")</f>
        <v>CC-MC-1092</v>
      </c>
      <c r="B465" s="21" t="str">
        <f>"Causación Compra"</f>
        <v>Causación Compra</v>
      </c>
      <c r="C465" s="22">
        <f ca="1">mercancia!B94</f>
        <v>46074</v>
      </c>
      <c r="D465" s="68" t="str">
        <f>"236805"</f>
        <v>236805</v>
      </c>
      <c r="E465" s="21" t="str">
        <f>"Retención ICA - Medellín 11.04‰"</f>
        <v>Retención ICA - Medellín 11.04‰</v>
      </c>
      <c r="F465" s="21" t="str">
        <f ca="1">mercancia!C94</f>
        <v>Cementos y Materiales Paisa S.A.</v>
      </c>
      <c r="G465" s="23" t="str" cm="1">
        <f t="array" aca="1" ref="G465" ca="1">INDIRECT("mercancia!D"&amp;(INT((ROW()-2)/5)+2))</f>
        <v>900.456.789-4</v>
      </c>
      <c r="H465" s="21" t="str">
        <f>CHOOSE(MOD(92,3)+1,"CC-100 Bodega Central","CC-101 Sucursal Centro","CC-102 Sucursal Itagüí")</f>
        <v>CC-102 Sucursal Itagüí</v>
      </c>
      <c r="I465" s="21" t="str">
        <f>"ReteICA Medellín sobre compra "&amp;mercancia!A94</f>
        <v>ReteICA Medellín sobre compra FE-1093</v>
      </c>
      <c r="J465" s="24">
        <f>0</f>
        <v>0</v>
      </c>
      <c r="K465" s="24">
        <f ca="1">mercancia!N94</f>
        <v>25398</v>
      </c>
      <c r="L465" s="25" t="str">
        <f>mercancia!A94</f>
        <v>FE-1093</v>
      </c>
    </row>
    <row r="466" spans="1:12" x14ac:dyDescent="0.35">
      <c r="A466" s="20" t="str">
        <f>"CC-MC-"&amp;TEXT(1092,"0000")</f>
        <v>CC-MC-1092</v>
      </c>
      <c r="B466" s="21" t="str">
        <f>"Causación Compra"</f>
        <v>Causación Compra</v>
      </c>
      <c r="C466" s="22">
        <f ca="1">mercancia!B94</f>
        <v>46074</v>
      </c>
      <c r="D466" s="68" t="str">
        <f>"220505"</f>
        <v>220505</v>
      </c>
      <c r="E466" s="21" t="str">
        <f>"Proveedores nacionales"</f>
        <v>Proveedores nacionales</v>
      </c>
      <c r="F466" s="21" t="str">
        <f ca="1">mercancia!C94</f>
        <v>Cementos y Materiales Paisa S.A.</v>
      </c>
      <c r="G466" s="23" t="str" cm="1">
        <f t="array" aca="1" ref="G466" ca="1">INDIRECT("mercancia!D"&amp;(INT((ROW()-2)/5)+2))</f>
        <v>900.456.789-4</v>
      </c>
      <c r="H466" s="21" t="str">
        <f>CHOOSE(MOD(92,3)+1,"CC-100 Bodega Central","CC-101 Sucursal Centro","CC-102 Sucursal Itagüí")</f>
        <v>CC-102 Sucursal Itagüí</v>
      </c>
      <c r="I466" s="21" t="str">
        <f>"Cuenta por pagar proveedor - "&amp;mercancia!A94</f>
        <v>Cuenta por pagar proveedor - FE-1093</v>
      </c>
      <c r="J466" s="24">
        <f>0</f>
        <v>0</v>
      </c>
      <c r="K466" s="24">
        <f ca="1">mercancia!O94</f>
        <v>2654684</v>
      </c>
      <c r="L466" s="25" t="str">
        <f>mercancia!A94</f>
        <v>FE-1093</v>
      </c>
    </row>
    <row r="467" spans="1:12" x14ac:dyDescent="0.35">
      <c r="A467" s="26" t="str">
        <f>"CC-MC-"&amp;TEXT(1093,"0000")</f>
        <v>CC-MC-1093</v>
      </c>
      <c r="B467" s="27" t="str">
        <f>"Causación Compra"</f>
        <v>Causación Compra</v>
      </c>
      <c r="C467" s="28">
        <f ca="1">mercancia!B95</f>
        <v>46051</v>
      </c>
      <c r="D467" s="69" t="str">
        <f>"143505"</f>
        <v>143505</v>
      </c>
      <c r="E467" s="27" t="str">
        <f>"Mercancías no fabricadas por la empresa"</f>
        <v>Mercancías no fabricadas por la empresa</v>
      </c>
      <c r="F467" s="27" t="str">
        <f ca="1">mercancia!C95</f>
        <v>Ferretería Antioqueña Ltda.</v>
      </c>
      <c r="G467" s="29" t="str" cm="1">
        <f t="array" aca="1" ref="G467" ca="1">INDIRECT("mercancia!D"&amp;(INT((ROW()-2)/5)+2))</f>
        <v>900.234.567-2</v>
      </c>
      <c r="H467" s="27" t="str">
        <f>CHOOSE(MOD(93,3)+1,"CC-100 Bodega Central","CC-101 Sucursal Centro","CC-102 Sucursal Itagüí")</f>
        <v>CC-100 Bodega Central</v>
      </c>
      <c r="I467" s="27" t="str">
        <f ca="1">"Compra mercancía - "&amp;mercancia!E95&amp;" - "&amp;mercancia!A95</f>
        <v>Compra mercancía - Lámina de drywall 1.22x2.44m - FE-1094</v>
      </c>
      <c r="J467" s="30">
        <f ca="1">mercancia!H95</f>
        <v>3806000</v>
      </c>
      <c r="K467" s="30">
        <f>0</f>
        <v>0</v>
      </c>
      <c r="L467" s="31" t="str">
        <f>mercancia!A95</f>
        <v>FE-1094</v>
      </c>
    </row>
    <row r="468" spans="1:12" x14ac:dyDescent="0.35">
      <c r="A468" s="26" t="str">
        <f>"CC-MC-"&amp;TEXT(1093,"0000")</f>
        <v>CC-MC-1093</v>
      </c>
      <c r="B468" s="27" t="str">
        <f>"Causación Compra"</f>
        <v>Causación Compra</v>
      </c>
      <c r="C468" s="28">
        <f ca="1">mercancia!B95</f>
        <v>46051</v>
      </c>
      <c r="D468" s="69" t="str">
        <f>"240805"</f>
        <v>240805</v>
      </c>
      <c r="E468" s="27" t="str">
        <f>"IVA descontable - 19%"</f>
        <v>IVA descontable - 19%</v>
      </c>
      <c r="F468" s="27" t="str">
        <f ca="1">mercancia!C95</f>
        <v>Ferretería Antioqueña Ltda.</v>
      </c>
      <c r="G468" s="29" t="str" cm="1">
        <f t="array" aca="1" ref="G468" ca="1">INDIRECT("mercancia!D"&amp;(INT((ROW()-2)/5)+2))</f>
        <v>900.234.567-2</v>
      </c>
      <c r="H468" s="27" t="str">
        <f>CHOOSE(MOD(93,3)+1,"CC-100 Bodega Central","CC-101 Sucursal Centro","CC-102 Sucursal Itagüí")</f>
        <v>CC-100 Bodega Central</v>
      </c>
      <c r="I468" s="27" t="str">
        <f>"IVA descontable factura "&amp;mercancia!A95</f>
        <v>IVA descontable factura FE-1094</v>
      </c>
      <c r="J468" s="30">
        <f ca="1">mercancia!I95</f>
        <v>723140</v>
      </c>
      <c r="K468" s="30">
        <f>0</f>
        <v>0</v>
      </c>
      <c r="L468" s="31" t="str">
        <f>mercancia!A95</f>
        <v>FE-1094</v>
      </c>
    </row>
    <row r="469" spans="1:12" x14ac:dyDescent="0.35">
      <c r="A469" s="26" t="str">
        <f>"CC-MC-"&amp;TEXT(1093,"0000")</f>
        <v>CC-MC-1093</v>
      </c>
      <c r="B469" s="27" t="str">
        <f>"Causación Compra"</f>
        <v>Causación Compra</v>
      </c>
      <c r="C469" s="28">
        <f ca="1">mercancia!B95</f>
        <v>46051</v>
      </c>
      <c r="D469" s="69" t="str">
        <f>"236540"</f>
        <v>236540</v>
      </c>
      <c r="E469" s="27" t="str">
        <f>"Retención en la fuente - Compras"</f>
        <v>Retención en la fuente - Compras</v>
      </c>
      <c r="F469" s="27" t="str">
        <f ca="1">mercancia!C95</f>
        <v>Ferretería Antioqueña Ltda.</v>
      </c>
      <c r="G469" s="29" t="str" cm="1">
        <f t="array" aca="1" ref="G469" ca="1">INDIRECT("mercancia!D"&amp;(INT((ROW()-2)/5)+2))</f>
        <v>900.234.567-2</v>
      </c>
      <c r="H469" s="27" t="str">
        <f>CHOOSE(MOD(93,3)+1,"CC-100 Bodega Central","CC-101 Sucursal Centro","CC-102 Sucursal Itagüí")</f>
        <v>CC-100 Bodega Central</v>
      </c>
      <c r="I469" s="27" t="str">
        <f ca="1">"ReteFuente "&amp;TEXT(mercancia!K95,"0.0%")&amp;" sobre compra "&amp;mercancia!A95</f>
        <v>ReteFuente 04% sobre compra FE-1094</v>
      </c>
      <c r="J469" s="30">
        <f>0</f>
        <v>0</v>
      </c>
      <c r="K469" s="30">
        <f ca="1">mercancia!L95</f>
        <v>133210</v>
      </c>
      <c r="L469" s="31" t="str">
        <f>mercancia!A95</f>
        <v>FE-1094</v>
      </c>
    </row>
    <row r="470" spans="1:12" x14ac:dyDescent="0.35">
      <c r="A470" s="26" t="str">
        <f>"CC-MC-"&amp;TEXT(1093,"0000")</f>
        <v>CC-MC-1093</v>
      </c>
      <c r="B470" s="27" t="str">
        <f>"Causación Compra"</f>
        <v>Causación Compra</v>
      </c>
      <c r="C470" s="28">
        <f ca="1">mercancia!B95</f>
        <v>46051</v>
      </c>
      <c r="D470" s="69" t="str">
        <f>"236805"</f>
        <v>236805</v>
      </c>
      <c r="E470" s="27" t="str">
        <f>"Retención ICA - Medellín 11.04‰"</f>
        <v>Retención ICA - Medellín 11.04‰</v>
      </c>
      <c r="F470" s="27" t="str">
        <f ca="1">mercancia!C95</f>
        <v>Ferretería Antioqueña Ltda.</v>
      </c>
      <c r="G470" s="29" t="str" cm="1">
        <f t="array" aca="1" ref="G470" ca="1">INDIRECT("mercancia!D"&amp;(INT((ROW()-2)/5)+2))</f>
        <v>900.234.567-2</v>
      </c>
      <c r="H470" s="27" t="str">
        <f>CHOOSE(MOD(93,3)+1,"CC-100 Bodega Central","CC-101 Sucursal Centro","CC-102 Sucursal Itagüí")</f>
        <v>CC-100 Bodega Central</v>
      </c>
      <c r="I470" s="27" t="str">
        <f>"ReteICA Medellín sobre compra "&amp;mercancia!A95</f>
        <v>ReteICA Medellín sobre compra FE-1094</v>
      </c>
      <c r="J470" s="30">
        <f>0</f>
        <v>0</v>
      </c>
      <c r="K470" s="30">
        <f ca="1">mercancia!N95</f>
        <v>42018</v>
      </c>
      <c r="L470" s="31" t="str">
        <f>mercancia!A95</f>
        <v>FE-1094</v>
      </c>
    </row>
    <row r="471" spans="1:12" x14ac:dyDescent="0.35">
      <c r="A471" s="26" t="str">
        <f>"CC-MC-"&amp;TEXT(1093,"0000")</f>
        <v>CC-MC-1093</v>
      </c>
      <c r="B471" s="27" t="str">
        <f>"Causación Compra"</f>
        <v>Causación Compra</v>
      </c>
      <c r="C471" s="28">
        <f ca="1">mercancia!B95</f>
        <v>46051</v>
      </c>
      <c r="D471" s="69" t="str">
        <f>"220505"</f>
        <v>220505</v>
      </c>
      <c r="E471" s="27" t="str">
        <f>"Proveedores nacionales"</f>
        <v>Proveedores nacionales</v>
      </c>
      <c r="F471" s="27" t="str">
        <f ca="1">mercancia!C95</f>
        <v>Ferretería Antioqueña Ltda.</v>
      </c>
      <c r="G471" s="29" t="str" cm="1">
        <f t="array" aca="1" ref="G471" ca="1">INDIRECT("mercancia!D"&amp;(INT((ROW()-2)/5)+2))</f>
        <v>900.234.567-2</v>
      </c>
      <c r="H471" s="27" t="str">
        <f>CHOOSE(MOD(93,3)+1,"CC-100 Bodega Central","CC-101 Sucursal Centro","CC-102 Sucursal Itagüí")</f>
        <v>CC-100 Bodega Central</v>
      </c>
      <c r="I471" s="27" t="str">
        <f>"Cuenta por pagar proveedor - "&amp;mercancia!A95</f>
        <v>Cuenta por pagar proveedor - FE-1094</v>
      </c>
      <c r="J471" s="30">
        <f>0</f>
        <v>0</v>
      </c>
      <c r="K471" s="30">
        <f ca="1">mercancia!O95</f>
        <v>4353912</v>
      </c>
      <c r="L471" s="31" t="str">
        <f>mercancia!A95</f>
        <v>FE-1094</v>
      </c>
    </row>
    <row r="472" spans="1:12" x14ac:dyDescent="0.35">
      <c r="A472" s="20" t="str">
        <f>"CC-MC-"&amp;TEXT(1094,"0000")</f>
        <v>CC-MC-1094</v>
      </c>
      <c r="B472" s="21" t="str">
        <f>"Causación Compra"</f>
        <v>Causación Compra</v>
      </c>
      <c r="C472" s="22">
        <f ca="1">mercancia!B96</f>
        <v>46138</v>
      </c>
      <c r="D472" s="68" t="str">
        <f>"143505"</f>
        <v>143505</v>
      </c>
      <c r="E472" s="21" t="str">
        <f>"Mercancías no fabricadas por la empresa"</f>
        <v>Mercancías no fabricadas por la empresa</v>
      </c>
      <c r="F472" s="21" t="str">
        <f ca="1">mercancia!C96</f>
        <v>Materiales La Estrella S.A.S.</v>
      </c>
      <c r="G472" s="23" t="str" cm="1">
        <f t="array" aca="1" ref="G472" ca="1">INDIRECT("mercancia!D"&amp;(INT((ROW()-2)/5)+2))</f>
        <v>901.345.678-3</v>
      </c>
      <c r="H472" s="21" t="str">
        <f>CHOOSE(MOD(94,3)+1,"CC-100 Bodega Central","CC-101 Sucursal Centro","CC-102 Sucursal Itagüí")</f>
        <v>CC-101 Sucursal Centro</v>
      </c>
      <c r="I472" s="21" t="str">
        <f ca="1">"Compra mercancía - "&amp;mercancia!E96&amp;" - "&amp;mercancia!A96</f>
        <v>Compra mercancía - Pinturas y Acabados Aburrá S.A.S. - FE-1095</v>
      </c>
      <c r="J472" s="24">
        <f ca="1">mercancia!H96</f>
        <v>17366400</v>
      </c>
      <c r="K472" s="24">
        <f>0</f>
        <v>0</v>
      </c>
      <c r="L472" s="25" t="str">
        <f>mercancia!A96</f>
        <v>FE-1095</v>
      </c>
    </row>
    <row r="473" spans="1:12" x14ac:dyDescent="0.35">
      <c r="A473" s="20" t="str">
        <f>"CC-MC-"&amp;TEXT(1094,"0000")</f>
        <v>CC-MC-1094</v>
      </c>
      <c r="B473" s="21" t="str">
        <f>"Causación Compra"</f>
        <v>Causación Compra</v>
      </c>
      <c r="C473" s="22">
        <f ca="1">mercancia!B96</f>
        <v>46138</v>
      </c>
      <c r="D473" s="68" t="str">
        <f>"240805"</f>
        <v>240805</v>
      </c>
      <c r="E473" s="21" t="str">
        <f>"IVA descontable - 19%"</f>
        <v>IVA descontable - 19%</v>
      </c>
      <c r="F473" s="21" t="str">
        <f ca="1">mercancia!C96</f>
        <v>Materiales La Estrella S.A.S.</v>
      </c>
      <c r="G473" s="23" t="str" cm="1">
        <f t="array" aca="1" ref="G473" ca="1">INDIRECT("mercancia!D"&amp;(INT((ROW()-2)/5)+2))</f>
        <v>901.345.678-3</v>
      </c>
      <c r="H473" s="21" t="str">
        <f>CHOOSE(MOD(94,3)+1,"CC-100 Bodega Central","CC-101 Sucursal Centro","CC-102 Sucursal Itagüí")</f>
        <v>CC-101 Sucursal Centro</v>
      </c>
      <c r="I473" s="21" t="str">
        <f>"IVA descontable factura "&amp;mercancia!A96</f>
        <v>IVA descontable factura FE-1095</v>
      </c>
      <c r="J473" s="24">
        <f ca="1">mercancia!I96</f>
        <v>3299616</v>
      </c>
      <c r="K473" s="24">
        <f>0</f>
        <v>0</v>
      </c>
      <c r="L473" s="25" t="str">
        <f>mercancia!A96</f>
        <v>FE-1095</v>
      </c>
    </row>
    <row r="474" spans="1:12" x14ac:dyDescent="0.35">
      <c r="A474" s="20" t="str">
        <f>"CC-MC-"&amp;TEXT(1094,"0000")</f>
        <v>CC-MC-1094</v>
      </c>
      <c r="B474" s="21" t="str">
        <f>"Causación Compra"</f>
        <v>Causación Compra</v>
      </c>
      <c r="C474" s="22">
        <f ca="1">mercancia!B96</f>
        <v>46138</v>
      </c>
      <c r="D474" s="68" t="str">
        <f>"236540"</f>
        <v>236540</v>
      </c>
      <c r="E474" s="21" t="str">
        <f>"Retención en la fuente - Compras"</f>
        <v>Retención en la fuente - Compras</v>
      </c>
      <c r="F474" s="21" t="str">
        <f ca="1">mercancia!C96</f>
        <v>Materiales La Estrella S.A.S.</v>
      </c>
      <c r="G474" s="23" t="str" cm="1">
        <f t="array" aca="1" ref="G474" ca="1">INDIRECT("mercancia!D"&amp;(INT((ROW()-2)/5)+2))</f>
        <v>901.345.678-3</v>
      </c>
      <c r="H474" s="21" t="str">
        <f>CHOOSE(MOD(94,3)+1,"CC-100 Bodega Central","CC-101 Sucursal Centro","CC-102 Sucursal Itagüí")</f>
        <v>CC-101 Sucursal Centro</v>
      </c>
      <c r="I474" s="21" t="str">
        <f ca="1">"ReteFuente "&amp;TEXT(mercancia!K96,"0.0%")&amp;" sobre compra "&amp;mercancia!A96</f>
        <v>ReteFuente 03% sobre compra FE-1095</v>
      </c>
      <c r="J474" s="24">
        <f>0</f>
        <v>0</v>
      </c>
      <c r="K474" s="24">
        <f ca="1">mercancia!L96</f>
        <v>434160</v>
      </c>
      <c r="L474" s="25" t="str">
        <f>mercancia!A96</f>
        <v>FE-1095</v>
      </c>
    </row>
    <row r="475" spans="1:12" x14ac:dyDescent="0.35">
      <c r="A475" s="20" t="str">
        <f>"CC-MC-"&amp;TEXT(1094,"0000")</f>
        <v>CC-MC-1094</v>
      </c>
      <c r="B475" s="21" t="str">
        <f>"Causación Compra"</f>
        <v>Causación Compra</v>
      </c>
      <c r="C475" s="22">
        <f ca="1">mercancia!B96</f>
        <v>46138</v>
      </c>
      <c r="D475" s="68" t="str">
        <f>"236805"</f>
        <v>236805</v>
      </c>
      <c r="E475" s="21" t="str">
        <f>"Retención ICA - Medellín 11.04‰"</f>
        <v>Retención ICA - Medellín 11.04‰</v>
      </c>
      <c r="F475" s="21" t="str">
        <f ca="1">mercancia!C96</f>
        <v>Materiales La Estrella S.A.S.</v>
      </c>
      <c r="G475" s="23" t="str" cm="1">
        <f t="array" aca="1" ref="G475" ca="1">INDIRECT("mercancia!D"&amp;(INT((ROW()-2)/5)+2))</f>
        <v>901.345.678-3</v>
      </c>
      <c r="H475" s="21" t="str">
        <f>CHOOSE(MOD(94,3)+1,"CC-100 Bodega Central","CC-101 Sucursal Centro","CC-102 Sucursal Itagüí")</f>
        <v>CC-101 Sucursal Centro</v>
      </c>
      <c r="I475" s="21" t="str">
        <f>"ReteICA Medellín sobre compra "&amp;mercancia!A96</f>
        <v>ReteICA Medellín sobre compra FE-1095</v>
      </c>
      <c r="J475" s="24">
        <f>0</f>
        <v>0</v>
      </c>
      <c r="K475" s="24">
        <f ca="1">mercancia!N96</f>
        <v>191725</v>
      </c>
      <c r="L475" s="25" t="str">
        <f>mercancia!A96</f>
        <v>FE-1095</v>
      </c>
    </row>
    <row r="476" spans="1:12" x14ac:dyDescent="0.35">
      <c r="A476" s="20" t="str">
        <f>"CC-MC-"&amp;TEXT(1094,"0000")</f>
        <v>CC-MC-1094</v>
      </c>
      <c r="B476" s="21" t="str">
        <f>"Causación Compra"</f>
        <v>Causación Compra</v>
      </c>
      <c r="C476" s="22">
        <f ca="1">mercancia!B96</f>
        <v>46138</v>
      </c>
      <c r="D476" s="68" t="str">
        <f>"220505"</f>
        <v>220505</v>
      </c>
      <c r="E476" s="21" t="str">
        <f>"Proveedores nacionales"</f>
        <v>Proveedores nacionales</v>
      </c>
      <c r="F476" s="21" t="str">
        <f ca="1">mercancia!C96</f>
        <v>Materiales La Estrella S.A.S.</v>
      </c>
      <c r="G476" s="23" t="str" cm="1">
        <f t="array" aca="1" ref="G476" ca="1">INDIRECT("mercancia!D"&amp;(INT((ROW()-2)/5)+2))</f>
        <v>901.345.678-3</v>
      </c>
      <c r="H476" s="21" t="str">
        <f>CHOOSE(MOD(94,3)+1,"CC-100 Bodega Central","CC-101 Sucursal Centro","CC-102 Sucursal Itagüí")</f>
        <v>CC-101 Sucursal Centro</v>
      </c>
      <c r="I476" s="21" t="str">
        <f>"Cuenta por pagar proveedor - "&amp;mercancia!A96</f>
        <v>Cuenta por pagar proveedor - FE-1095</v>
      </c>
      <c r="J476" s="24">
        <f>0</f>
        <v>0</v>
      </c>
      <c r="K476" s="24">
        <f ca="1">mercancia!O96</f>
        <v>20040131</v>
      </c>
      <c r="L476" s="25" t="str">
        <f>mercancia!A96</f>
        <v>FE-1095</v>
      </c>
    </row>
    <row r="477" spans="1:12" x14ac:dyDescent="0.35">
      <c r="A477" s="26" t="str">
        <f>"CC-MC-"&amp;TEXT(1095,"0000")</f>
        <v>CC-MC-1095</v>
      </c>
      <c r="B477" s="27" t="str">
        <f>"Causación Compra"</f>
        <v>Causación Compra</v>
      </c>
      <c r="C477" s="28">
        <f ca="1">mercancia!B97</f>
        <v>46063</v>
      </c>
      <c r="D477" s="69" t="str">
        <f>"143505"</f>
        <v>143505</v>
      </c>
      <c r="E477" s="27" t="str">
        <f>"Mercancías no fabricadas por la empresa"</f>
        <v>Mercancías no fabricadas por la empresa</v>
      </c>
      <c r="F477" s="27" t="str">
        <f ca="1">mercancia!C97</f>
        <v>Distribuidora El Martillo de Oro S.A.S.</v>
      </c>
      <c r="G477" s="29" t="str" cm="1">
        <f t="array" aca="1" ref="G477" ca="1">INDIRECT("mercancia!D"&amp;(INT((ROW()-2)/5)+2))</f>
        <v>900.345.678-3</v>
      </c>
      <c r="H477" s="27" t="str">
        <f>CHOOSE(MOD(95,3)+1,"CC-100 Bodega Central","CC-101 Sucursal Centro","CC-102 Sucursal Itagüí")</f>
        <v>CC-102 Sucursal Itagüí</v>
      </c>
      <c r="I477" s="27" t="str">
        <f ca="1">"Compra mercancía - "&amp;mercancia!E97&amp;" - "&amp;mercancia!A97</f>
        <v>Compra mercancía - Ferromax Colombia S.A.S. - FE-1096</v>
      </c>
      <c r="J477" s="30">
        <f ca="1">mercancia!H97</f>
        <v>21840000</v>
      </c>
      <c r="K477" s="30">
        <f>0</f>
        <v>0</v>
      </c>
      <c r="L477" s="31" t="str">
        <f>mercancia!A97</f>
        <v>FE-1096</v>
      </c>
    </row>
    <row r="478" spans="1:12" x14ac:dyDescent="0.35">
      <c r="A478" s="26" t="str">
        <f>"CC-MC-"&amp;TEXT(1095,"0000")</f>
        <v>CC-MC-1095</v>
      </c>
      <c r="B478" s="27" t="str">
        <f>"Causación Compra"</f>
        <v>Causación Compra</v>
      </c>
      <c r="C478" s="28">
        <f ca="1">mercancia!B97</f>
        <v>46063</v>
      </c>
      <c r="D478" s="69" t="str">
        <f>"240805"</f>
        <v>240805</v>
      </c>
      <c r="E478" s="27" t="str">
        <f>"IVA descontable - 19%"</f>
        <v>IVA descontable - 19%</v>
      </c>
      <c r="F478" s="27" t="str">
        <f ca="1">mercancia!C97</f>
        <v>Distribuidora El Martillo de Oro S.A.S.</v>
      </c>
      <c r="G478" s="29" t="str" cm="1">
        <f t="array" aca="1" ref="G478" ca="1">INDIRECT("mercancia!D"&amp;(INT((ROW()-2)/5)+2))</f>
        <v>900.345.678-3</v>
      </c>
      <c r="H478" s="27" t="str">
        <f>CHOOSE(MOD(95,3)+1,"CC-100 Bodega Central","CC-101 Sucursal Centro","CC-102 Sucursal Itagüí")</f>
        <v>CC-102 Sucursal Itagüí</v>
      </c>
      <c r="I478" s="27" t="str">
        <f>"IVA descontable factura "&amp;mercancia!A97</f>
        <v>IVA descontable factura FE-1096</v>
      </c>
      <c r="J478" s="30">
        <f ca="1">mercancia!I97</f>
        <v>4149600</v>
      </c>
      <c r="K478" s="30">
        <f>0</f>
        <v>0</v>
      </c>
      <c r="L478" s="31" t="str">
        <f>mercancia!A97</f>
        <v>FE-1096</v>
      </c>
    </row>
    <row r="479" spans="1:12" x14ac:dyDescent="0.35">
      <c r="A479" s="26" t="str">
        <f>"CC-MC-"&amp;TEXT(1095,"0000")</f>
        <v>CC-MC-1095</v>
      </c>
      <c r="B479" s="27" t="str">
        <f>"Causación Compra"</f>
        <v>Causación Compra</v>
      </c>
      <c r="C479" s="28">
        <f ca="1">mercancia!B97</f>
        <v>46063</v>
      </c>
      <c r="D479" s="69" t="str">
        <f>"236540"</f>
        <v>236540</v>
      </c>
      <c r="E479" s="27" t="str">
        <f>"Retención en la fuente - Compras"</f>
        <v>Retención en la fuente - Compras</v>
      </c>
      <c r="F479" s="27" t="str">
        <f ca="1">mercancia!C97</f>
        <v>Distribuidora El Martillo de Oro S.A.S.</v>
      </c>
      <c r="G479" s="29" t="str" cm="1">
        <f t="array" aca="1" ref="G479" ca="1">INDIRECT("mercancia!D"&amp;(INT((ROW()-2)/5)+2))</f>
        <v>900.345.678-3</v>
      </c>
      <c r="H479" s="27" t="str">
        <f>CHOOSE(MOD(95,3)+1,"CC-100 Bodega Central","CC-101 Sucursal Centro","CC-102 Sucursal Itagüí")</f>
        <v>CC-102 Sucursal Itagüí</v>
      </c>
      <c r="I479" s="27" t="str">
        <f ca="1">"ReteFuente "&amp;TEXT(mercancia!K97,"0.0%")&amp;" sobre compra "&amp;mercancia!A97</f>
        <v>ReteFuente 04% sobre compra FE-1096</v>
      </c>
      <c r="J479" s="30">
        <f>0</f>
        <v>0</v>
      </c>
      <c r="K479" s="30">
        <f ca="1">mercancia!L97</f>
        <v>764400</v>
      </c>
      <c r="L479" s="31" t="str">
        <f>mercancia!A97</f>
        <v>FE-1096</v>
      </c>
    </row>
    <row r="480" spans="1:12" x14ac:dyDescent="0.35">
      <c r="A480" s="26" t="str">
        <f>"CC-MC-"&amp;TEXT(1095,"0000")</f>
        <v>CC-MC-1095</v>
      </c>
      <c r="B480" s="27" t="str">
        <f>"Causación Compra"</f>
        <v>Causación Compra</v>
      </c>
      <c r="C480" s="28">
        <f ca="1">mercancia!B97</f>
        <v>46063</v>
      </c>
      <c r="D480" s="69" t="str">
        <f>"236805"</f>
        <v>236805</v>
      </c>
      <c r="E480" s="27" t="str">
        <f>"Retención ICA - Medellín 11.04‰"</f>
        <v>Retención ICA - Medellín 11.04‰</v>
      </c>
      <c r="F480" s="27" t="str">
        <f ca="1">mercancia!C97</f>
        <v>Distribuidora El Martillo de Oro S.A.S.</v>
      </c>
      <c r="G480" s="29" t="str" cm="1">
        <f t="array" aca="1" ref="G480" ca="1">INDIRECT("mercancia!D"&amp;(INT((ROW()-2)/5)+2))</f>
        <v>900.345.678-3</v>
      </c>
      <c r="H480" s="27" t="str">
        <f>CHOOSE(MOD(95,3)+1,"CC-100 Bodega Central","CC-101 Sucursal Centro","CC-102 Sucursal Itagüí")</f>
        <v>CC-102 Sucursal Itagüí</v>
      </c>
      <c r="I480" s="27" t="str">
        <f>"ReteICA Medellín sobre compra "&amp;mercancia!A97</f>
        <v>ReteICA Medellín sobre compra FE-1096</v>
      </c>
      <c r="J480" s="30">
        <f>0</f>
        <v>0</v>
      </c>
      <c r="K480" s="30">
        <f ca="1">mercancia!N97</f>
        <v>241114</v>
      </c>
      <c r="L480" s="31" t="str">
        <f>mercancia!A97</f>
        <v>FE-1096</v>
      </c>
    </row>
    <row r="481" spans="1:12" x14ac:dyDescent="0.35">
      <c r="A481" s="26" t="str">
        <f>"CC-MC-"&amp;TEXT(1095,"0000")</f>
        <v>CC-MC-1095</v>
      </c>
      <c r="B481" s="27" t="str">
        <f>"Causación Compra"</f>
        <v>Causación Compra</v>
      </c>
      <c r="C481" s="28">
        <f ca="1">mercancia!B97</f>
        <v>46063</v>
      </c>
      <c r="D481" s="69" t="str">
        <f>"220505"</f>
        <v>220505</v>
      </c>
      <c r="E481" s="27" t="str">
        <f>"Proveedores nacionales"</f>
        <v>Proveedores nacionales</v>
      </c>
      <c r="F481" s="27" t="str">
        <f ca="1">mercancia!C97</f>
        <v>Distribuidora El Martillo de Oro S.A.S.</v>
      </c>
      <c r="G481" s="29" t="str" cm="1">
        <f t="array" aca="1" ref="G481" ca="1">INDIRECT("mercancia!D"&amp;(INT((ROW()-2)/5)+2))</f>
        <v>900.345.678-3</v>
      </c>
      <c r="H481" s="27" t="str">
        <f>CHOOSE(MOD(95,3)+1,"CC-100 Bodega Central","CC-101 Sucursal Centro","CC-102 Sucursal Itagüí")</f>
        <v>CC-102 Sucursal Itagüí</v>
      </c>
      <c r="I481" s="27" t="str">
        <f>"Cuenta por pagar proveedor - "&amp;mercancia!A97</f>
        <v>Cuenta por pagar proveedor - FE-1096</v>
      </c>
      <c r="J481" s="30">
        <f>0</f>
        <v>0</v>
      </c>
      <c r="K481" s="30">
        <f ca="1">mercancia!O97</f>
        <v>24984086</v>
      </c>
      <c r="L481" s="31" t="str">
        <f>mercancia!A97</f>
        <v>FE-1096</v>
      </c>
    </row>
    <row r="482" spans="1:12" x14ac:dyDescent="0.35">
      <c r="A482" s="20" t="str">
        <f>"CC-MC-"&amp;TEXT(1096,"0000")</f>
        <v>CC-MC-1096</v>
      </c>
      <c r="B482" s="21" t="str">
        <f>"Causación Compra"</f>
        <v>Causación Compra</v>
      </c>
      <c r="C482" s="22">
        <f ca="1">mercancia!B98</f>
        <v>46097</v>
      </c>
      <c r="D482" s="68" t="str">
        <f>"143505"</f>
        <v>143505</v>
      </c>
      <c r="E482" s="21" t="str">
        <f>"Mercancías no fabricadas por la empresa"</f>
        <v>Mercancías no fabricadas por la empresa</v>
      </c>
      <c r="F482" s="21" t="str">
        <f ca="1">mercancia!C98</f>
        <v>Ferromax Colombia S.A.S.</v>
      </c>
      <c r="G482" s="23" t="str" cm="1">
        <f t="array" aca="1" ref="G482" ca="1">INDIRECT("mercancia!D"&amp;(INT((ROW()-2)/5)+2))</f>
        <v>901.234.567-2</v>
      </c>
      <c r="H482" s="21" t="str">
        <f>CHOOSE(MOD(96,3)+1,"CC-100 Bodega Central","CC-101 Sucursal Centro","CC-102 Sucursal Itagüí")</f>
        <v>CC-100 Bodega Central</v>
      </c>
      <c r="I482" s="21" t="str">
        <f ca="1">"Compra mercancía - "&amp;mercancia!E98&amp;" - "&amp;mercancia!A98</f>
        <v>Compra mercancía - Herramientas Industriales Medellín S.A.S. - FE-1097</v>
      </c>
      <c r="J482" s="24">
        <f ca="1">mercancia!H98</f>
        <v>5155200</v>
      </c>
      <c r="K482" s="24">
        <f>0</f>
        <v>0</v>
      </c>
      <c r="L482" s="25" t="str">
        <f>mercancia!A98</f>
        <v>FE-1097</v>
      </c>
    </row>
    <row r="483" spans="1:12" x14ac:dyDescent="0.35">
      <c r="A483" s="20" t="str">
        <f>"CC-MC-"&amp;TEXT(1096,"0000")</f>
        <v>CC-MC-1096</v>
      </c>
      <c r="B483" s="21" t="str">
        <f>"Causación Compra"</f>
        <v>Causación Compra</v>
      </c>
      <c r="C483" s="22">
        <f ca="1">mercancia!B98</f>
        <v>46097</v>
      </c>
      <c r="D483" s="68" t="str">
        <f>"240805"</f>
        <v>240805</v>
      </c>
      <c r="E483" s="21" t="str">
        <f>"IVA descontable - 19%"</f>
        <v>IVA descontable - 19%</v>
      </c>
      <c r="F483" s="21" t="str">
        <f ca="1">mercancia!C98</f>
        <v>Ferromax Colombia S.A.S.</v>
      </c>
      <c r="G483" s="23" t="str" cm="1">
        <f t="array" aca="1" ref="G483" ca="1">INDIRECT("mercancia!D"&amp;(INT((ROW()-2)/5)+2))</f>
        <v>901.234.567-2</v>
      </c>
      <c r="H483" s="21" t="str">
        <f>CHOOSE(MOD(96,3)+1,"CC-100 Bodega Central","CC-101 Sucursal Centro","CC-102 Sucursal Itagüí")</f>
        <v>CC-100 Bodega Central</v>
      </c>
      <c r="I483" s="21" t="str">
        <f>"IVA descontable factura "&amp;mercancia!A98</f>
        <v>IVA descontable factura FE-1097</v>
      </c>
      <c r="J483" s="24">
        <f ca="1">mercancia!I98</f>
        <v>979488</v>
      </c>
      <c r="K483" s="24">
        <f>0</f>
        <v>0</v>
      </c>
      <c r="L483" s="25" t="str">
        <f>mercancia!A98</f>
        <v>FE-1097</v>
      </c>
    </row>
    <row r="484" spans="1:12" x14ac:dyDescent="0.35">
      <c r="A484" s="20" t="str">
        <f>"CC-MC-"&amp;TEXT(1096,"0000")</f>
        <v>CC-MC-1096</v>
      </c>
      <c r="B484" s="21" t="str">
        <f>"Causación Compra"</f>
        <v>Causación Compra</v>
      </c>
      <c r="C484" s="22">
        <f ca="1">mercancia!B98</f>
        <v>46097</v>
      </c>
      <c r="D484" s="68" t="str">
        <f>"236540"</f>
        <v>236540</v>
      </c>
      <c r="E484" s="21" t="str">
        <f>"Retención en la fuente - Compras"</f>
        <v>Retención en la fuente - Compras</v>
      </c>
      <c r="F484" s="21" t="str">
        <f ca="1">mercancia!C98</f>
        <v>Ferromax Colombia S.A.S.</v>
      </c>
      <c r="G484" s="23" t="str" cm="1">
        <f t="array" aca="1" ref="G484" ca="1">INDIRECT("mercancia!D"&amp;(INT((ROW()-2)/5)+2))</f>
        <v>901.234.567-2</v>
      </c>
      <c r="H484" s="21" t="str">
        <f>CHOOSE(MOD(96,3)+1,"CC-100 Bodega Central","CC-101 Sucursal Centro","CC-102 Sucursal Itagüí")</f>
        <v>CC-100 Bodega Central</v>
      </c>
      <c r="I484" s="21" t="str">
        <f ca="1">"ReteFuente "&amp;TEXT(mercancia!K98,"0.0%")&amp;" sobre compra "&amp;mercancia!A98</f>
        <v>ReteFuente 03% sobre compra FE-1097</v>
      </c>
      <c r="J484" s="24">
        <f>0</f>
        <v>0</v>
      </c>
      <c r="K484" s="24">
        <f ca="1">mercancia!L98</f>
        <v>128880</v>
      </c>
      <c r="L484" s="25" t="str">
        <f>mercancia!A98</f>
        <v>FE-1097</v>
      </c>
    </row>
    <row r="485" spans="1:12" x14ac:dyDescent="0.35">
      <c r="A485" s="20" t="str">
        <f>"CC-MC-"&amp;TEXT(1096,"0000")</f>
        <v>CC-MC-1096</v>
      </c>
      <c r="B485" s="21" t="str">
        <f>"Causación Compra"</f>
        <v>Causación Compra</v>
      </c>
      <c r="C485" s="22">
        <f ca="1">mercancia!B98</f>
        <v>46097</v>
      </c>
      <c r="D485" s="68" t="str">
        <f>"236805"</f>
        <v>236805</v>
      </c>
      <c r="E485" s="21" t="str">
        <f>"Retención ICA - Medellín 11.04‰"</f>
        <v>Retención ICA - Medellín 11.04‰</v>
      </c>
      <c r="F485" s="21" t="str">
        <f ca="1">mercancia!C98</f>
        <v>Ferromax Colombia S.A.S.</v>
      </c>
      <c r="G485" s="23" t="str" cm="1">
        <f t="array" aca="1" ref="G485" ca="1">INDIRECT("mercancia!D"&amp;(INT((ROW()-2)/5)+2))</f>
        <v>901.234.567-2</v>
      </c>
      <c r="H485" s="21" t="str">
        <f>CHOOSE(MOD(96,3)+1,"CC-100 Bodega Central","CC-101 Sucursal Centro","CC-102 Sucursal Itagüí")</f>
        <v>CC-100 Bodega Central</v>
      </c>
      <c r="I485" s="21" t="str">
        <f>"ReteICA Medellín sobre compra "&amp;mercancia!A98</f>
        <v>ReteICA Medellín sobre compra FE-1097</v>
      </c>
      <c r="J485" s="24">
        <f>0</f>
        <v>0</v>
      </c>
      <c r="K485" s="24">
        <f ca="1">mercancia!N98</f>
        <v>56913</v>
      </c>
      <c r="L485" s="25" t="str">
        <f>mercancia!A98</f>
        <v>FE-1097</v>
      </c>
    </row>
    <row r="486" spans="1:12" x14ac:dyDescent="0.35">
      <c r="A486" s="20" t="str">
        <f>"CC-MC-"&amp;TEXT(1096,"0000")</f>
        <v>CC-MC-1096</v>
      </c>
      <c r="B486" s="21" t="str">
        <f>"Causación Compra"</f>
        <v>Causación Compra</v>
      </c>
      <c r="C486" s="22">
        <f ca="1">mercancia!B98</f>
        <v>46097</v>
      </c>
      <c r="D486" s="68" t="str">
        <f>"220505"</f>
        <v>220505</v>
      </c>
      <c r="E486" s="21" t="str">
        <f>"Proveedores nacionales"</f>
        <v>Proveedores nacionales</v>
      </c>
      <c r="F486" s="21" t="str">
        <f ca="1">mercancia!C98</f>
        <v>Ferromax Colombia S.A.S.</v>
      </c>
      <c r="G486" s="23" t="str" cm="1">
        <f t="array" aca="1" ref="G486" ca="1">INDIRECT("mercancia!D"&amp;(INT((ROW()-2)/5)+2))</f>
        <v>901.234.567-2</v>
      </c>
      <c r="H486" s="21" t="str">
        <f>CHOOSE(MOD(96,3)+1,"CC-100 Bodega Central","CC-101 Sucursal Centro","CC-102 Sucursal Itagüí")</f>
        <v>CC-100 Bodega Central</v>
      </c>
      <c r="I486" s="21" t="str">
        <f>"Cuenta por pagar proveedor - "&amp;mercancia!A98</f>
        <v>Cuenta por pagar proveedor - FE-1097</v>
      </c>
      <c r="J486" s="24">
        <f>0</f>
        <v>0</v>
      </c>
      <c r="K486" s="24">
        <f ca="1">mercancia!O98</f>
        <v>5948895</v>
      </c>
      <c r="L486" s="25" t="str">
        <f>mercancia!A98</f>
        <v>FE-1097</v>
      </c>
    </row>
    <row r="487" spans="1:12" x14ac:dyDescent="0.35">
      <c r="A487" s="26" t="str">
        <f>"CC-MC-"&amp;TEXT(1097,"0000")</f>
        <v>CC-MC-1097</v>
      </c>
      <c r="B487" s="27" t="str">
        <f>"Causación Compra"</f>
        <v>Causación Compra</v>
      </c>
      <c r="C487" s="28">
        <f ca="1">mercancia!B99</f>
        <v>46111</v>
      </c>
      <c r="D487" s="69" t="str">
        <f>"143505"</f>
        <v>143505</v>
      </c>
      <c r="E487" s="27" t="str">
        <f>"Mercancías no fabricadas por la empresa"</f>
        <v>Mercancías no fabricadas por la empresa</v>
      </c>
      <c r="F487" s="27" t="str">
        <f ca="1">mercancia!C99</f>
        <v>Tubos y Conexiones Envigado Ltda.</v>
      </c>
      <c r="G487" s="29" t="str" cm="1">
        <f t="array" aca="1" ref="G487" ca="1">INDIRECT("mercancia!D"&amp;(INT((ROW()-2)/5)+2))</f>
        <v>901.012.345-0</v>
      </c>
      <c r="H487" s="27" t="str">
        <f>CHOOSE(MOD(97,3)+1,"CC-100 Bodega Central","CC-101 Sucursal Centro","CC-102 Sucursal Itagüí")</f>
        <v>CC-101 Sucursal Centro</v>
      </c>
      <c r="I487" s="27" t="str">
        <f ca="1">"Compra mercancía - "&amp;mercancia!E99&amp;" - "&amp;mercancia!A99</f>
        <v>Compra mercancía - Bloque de concreto 10x20x40 - FE-1098</v>
      </c>
      <c r="J487" s="30">
        <f ca="1">mercancia!H99</f>
        <v>21097800</v>
      </c>
      <c r="K487" s="30">
        <f>0</f>
        <v>0</v>
      </c>
      <c r="L487" s="31" t="str">
        <f>mercancia!A99</f>
        <v>FE-1098</v>
      </c>
    </row>
    <row r="488" spans="1:12" x14ac:dyDescent="0.35">
      <c r="A488" s="26" t="str">
        <f>"CC-MC-"&amp;TEXT(1097,"0000")</f>
        <v>CC-MC-1097</v>
      </c>
      <c r="B488" s="27" t="str">
        <f>"Causación Compra"</f>
        <v>Causación Compra</v>
      </c>
      <c r="C488" s="28">
        <f ca="1">mercancia!B99</f>
        <v>46111</v>
      </c>
      <c r="D488" s="69" t="str">
        <f>"240805"</f>
        <v>240805</v>
      </c>
      <c r="E488" s="27" t="str">
        <f>"IVA descontable - 19%"</f>
        <v>IVA descontable - 19%</v>
      </c>
      <c r="F488" s="27" t="str">
        <f ca="1">mercancia!C99</f>
        <v>Tubos y Conexiones Envigado Ltda.</v>
      </c>
      <c r="G488" s="29" t="str" cm="1">
        <f t="array" aca="1" ref="G488" ca="1">INDIRECT("mercancia!D"&amp;(INT((ROW()-2)/5)+2))</f>
        <v>901.012.345-0</v>
      </c>
      <c r="H488" s="27" t="str">
        <f>CHOOSE(MOD(97,3)+1,"CC-100 Bodega Central","CC-101 Sucursal Centro","CC-102 Sucursal Itagüí")</f>
        <v>CC-101 Sucursal Centro</v>
      </c>
      <c r="I488" s="27" t="str">
        <f>"IVA descontable factura "&amp;mercancia!A99</f>
        <v>IVA descontable factura FE-1098</v>
      </c>
      <c r="J488" s="30">
        <f ca="1">mercancia!I99</f>
        <v>4008582</v>
      </c>
      <c r="K488" s="30">
        <f>0</f>
        <v>0</v>
      </c>
      <c r="L488" s="31" t="str">
        <f>mercancia!A99</f>
        <v>FE-1098</v>
      </c>
    </row>
    <row r="489" spans="1:12" x14ac:dyDescent="0.35">
      <c r="A489" s="26" t="str">
        <f>"CC-MC-"&amp;TEXT(1097,"0000")</f>
        <v>CC-MC-1097</v>
      </c>
      <c r="B489" s="27" t="str">
        <f>"Causación Compra"</f>
        <v>Causación Compra</v>
      </c>
      <c r="C489" s="28">
        <f ca="1">mercancia!B99</f>
        <v>46111</v>
      </c>
      <c r="D489" s="69" t="str">
        <f>"236540"</f>
        <v>236540</v>
      </c>
      <c r="E489" s="27" t="str">
        <f>"Retención en la fuente - Compras"</f>
        <v>Retención en la fuente - Compras</v>
      </c>
      <c r="F489" s="27" t="str">
        <f ca="1">mercancia!C99</f>
        <v>Tubos y Conexiones Envigado Ltda.</v>
      </c>
      <c r="G489" s="29" t="str" cm="1">
        <f t="array" aca="1" ref="G489" ca="1">INDIRECT("mercancia!D"&amp;(INT((ROW()-2)/5)+2))</f>
        <v>901.012.345-0</v>
      </c>
      <c r="H489" s="27" t="str">
        <f>CHOOSE(MOD(97,3)+1,"CC-100 Bodega Central","CC-101 Sucursal Centro","CC-102 Sucursal Itagüí")</f>
        <v>CC-101 Sucursal Centro</v>
      </c>
      <c r="I489" s="27" t="str">
        <f ca="1">"ReteFuente "&amp;TEXT(mercancia!K99,"0.0%")&amp;" sobre compra "&amp;mercancia!A99</f>
        <v>ReteFuente 04% sobre compra FE-1098</v>
      </c>
      <c r="J489" s="30">
        <f>0</f>
        <v>0</v>
      </c>
      <c r="K489" s="30">
        <f ca="1">mercancia!L99</f>
        <v>738423</v>
      </c>
      <c r="L489" s="31" t="str">
        <f>mercancia!A99</f>
        <v>FE-1098</v>
      </c>
    </row>
    <row r="490" spans="1:12" x14ac:dyDescent="0.35">
      <c r="A490" s="26" t="str">
        <f>"CC-MC-"&amp;TEXT(1097,"0000")</f>
        <v>CC-MC-1097</v>
      </c>
      <c r="B490" s="27" t="str">
        <f>"Causación Compra"</f>
        <v>Causación Compra</v>
      </c>
      <c r="C490" s="28">
        <f ca="1">mercancia!B99</f>
        <v>46111</v>
      </c>
      <c r="D490" s="69" t="str">
        <f>"236805"</f>
        <v>236805</v>
      </c>
      <c r="E490" s="27" t="str">
        <f>"Retención ICA - Medellín 11.04‰"</f>
        <v>Retención ICA - Medellín 11.04‰</v>
      </c>
      <c r="F490" s="27" t="str">
        <f ca="1">mercancia!C99</f>
        <v>Tubos y Conexiones Envigado Ltda.</v>
      </c>
      <c r="G490" s="29" t="str" cm="1">
        <f t="array" aca="1" ref="G490" ca="1">INDIRECT("mercancia!D"&amp;(INT((ROW()-2)/5)+2))</f>
        <v>901.012.345-0</v>
      </c>
      <c r="H490" s="27" t="str">
        <f>CHOOSE(MOD(97,3)+1,"CC-100 Bodega Central","CC-101 Sucursal Centro","CC-102 Sucursal Itagüí")</f>
        <v>CC-101 Sucursal Centro</v>
      </c>
      <c r="I490" s="27" t="str">
        <f>"ReteICA Medellín sobre compra "&amp;mercancia!A99</f>
        <v>ReteICA Medellín sobre compra FE-1098</v>
      </c>
      <c r="J490" s="30">
        <f>0</f>
        <v>0</v>
      </c>
      <c r="K490" s="30">
        <f ca="1">mercancia!N99</f>
        <v>232920</v>
      </c>
      <c r="L490" s="31" t="str">
        <f>mercancia!A99</f>
        <v>FE-1098</v>
      </c>
    </row>
    <row r="491" spans="1:12" x14ac:dyDescent="0.35">
      <c r="A491" s="26" t="str">
        <f>"CC-MC-"&amp;TEXT(1097,"0000")</f>
        <v>CC-MC-1097</v>
      </c>
      <c r="B491" s="27" t="str">
        <f>"Causación Compra"</f>
        <v>Causación Compra</v>
      </c>
      <c r="C491" s="28">
        <f ca="1">mercancia!B99</f>
        <v>46111</v>
      </c>
      <c r="D491" s="69" t="str">
        <f>"220505"</f>
        <v>220505</v>
      </c>
      <c r="E491" s="27" t="str">
        <f>"Proveedores nacionales"</f>
        <v>Proveedores nacionales</v>
      </c>
      <c r="F491" s="27" t="str">
        <f ca="1">mercancia!C99</f>
        <v>Tubos y Conexiones Envigado Ltda.</v>
      </c>
      <c r="G491" s="29" t="str" cm="1">
        <f t="array" aca="1" ref="G491" ca="1">INDIRECT("mercancia!D"&amp;(INT((ROW()-2)/5)+2))</f>
        <v>901.012.345-0</v>
      </c>
      <c r="H491" s="27" t="str">
        <f>CHOOSE(MOD(97,3)+1,"CC-100 Bodega Central","CC-101 Sucursal Centro","CC-102 Sucursal Itagüí")</f>
        <v>CC-101 Sucursal Centro</v>
      </c>
      <c r="I491" s="27" t="str">
        <f>"Cuenta por pagar proveedor - "&amp;mercancia!A99</f>
        <v>Cuenta por pagar proveedor - FE-1098</v>
      </c>
      <c r="J491" s="30">
        <f>0</f>
        <v>0</v>
      </c>
      <c r="K491" s="30">
        <f ca="1">mercancia!O99</f>
        <v>24135039</v>
      </c>
      <c r="L491" s="31" t="str">
        <f>mercancia!A99</f>
        <v>FE-1098</v>
      </c>
    </row>
    <row r="492" spans="1:12" x14ac:dyDescent="0.35">
      <c r="A492" s="20" t="str">
        <f>"CC-MC-"&amp;TEXT(1098,"0000")</f>
        <v>CC-MC-1098</v>
      </c>
      <c r="B492" s="21" t="str">
        <f>"Causación Compra"</f>
        <v>Causación Compra</v>
      </c>
      <c r="C492" s="22">
        <f ca="1">mercancia!B100</f>
        <v>46048</v>
      </c>
      <c r="D492" s="68" t="str">
        <f>"143505"</f>
        <v>143505</v>
      </c>
      <c r="E492" s="21" t="str">
        <f>"Mercancías no fabricadas por la empresa"</f>
        <v>Mercancías no fabricadas por la empresa</v>
      </c>
      <c r="F492" s="21" t="str">
        <f ca="1">mercancia!C100</f>
        <v>Hierros y Mallas Bello S.A.S.</v>
      </c>
      <c r="G492" s="23" t="str" cm="1">
        <f t="array" aca="1" ref="G492" ca="1">INDIRECT("mercancia!D"&amp;(INT((ROW()-2)/5)+2))</f>
        <v>900.901.234-9</v>
      </c>
      <c r="H492" s="21" t="str">
        <f>CHOOSE(MOD(98,3)+1,"CC-100 Bodega Central","CC-101 Sucursal Centro","CC-102 Sucursal Itagüí")</f>
        <v>CC-102 Sucursal Itagüí</v>
      </c>
      <c r="I492" s="21" t="str">
        <f ca="1">"Compra mercancía - "&amp;mercancia!E100&amp;" - "&amp;mercancia!A100</f>
        <v>Compra mercancía - Pala cuadrada con cabo - FE-1099</v>
      </c>
      <c r="J492" s="24">
        <f ca="1">mercancia!H100</f>
        <v>785500</v>
      </c>
      <c r="K492" s="24">
        <f>0</f>
        <v>0</v>
      </c>
      <c r="L492" s="25" t="str">
        <f>mercancia!A100</f>
        <v>FE-1099</v>
      </c>
    </row>
    <row r="493" spans="1:12" x14ac:dyDescent="0.35">
      <c r="A493" s="20" t="str">
        <f>"CC-MC-"&amp;TEXT(1098,"0000")</f>
        <v>CC-MC-1098</v>
      </c>
      <c r="B493" s="21" t="str">
        <f>"Causación Compra"</f>
        <v>Causación Compra</v>
      </c>
      <c r="C493" s="22">
        <f ca="1">mercancia!B100</f>
        <v>46048</v>
      </c>
      <c r="D493" s="68" t="str">
        <f>"240805"</f>
        <v>240805</v>
      </c>
      <c r="E493" s="21" t="str">
        <f>"IVA descontable - 19%"</f>
        <v>IVA descontable - 19%</v>
      </c>
      <c r="F493" s="21" t="str">
        <f ca="1">mercancia!C100</f>
        <v>Hierros y Mallas Bello S.A.S.</v>
      </c>
      <c r="G493" s="23" t="str" cm="1">
        <f t="array" aca="1" ref="G493" ca="1">INDIRECT("mercancia!D"&amp;(INT((ROW()-2)/5)+2))</f>
        <v>900.901.234-9</v>
      </c>
      <c r="H493" s="21" t="str">
        <f>CHOOSE(MOD(98,3)+1,"CC-100 Bodega Central","CC-101 Sucursal Centro","CC-102 Sucursal Itagüí")</f>
        <v>CC-102 Sucursal Itagüí</v>
      </c>
      <c r="I493" s="21" t="str">
        <f>"IVA descontable factura "&amp;mercancia!A100</f>
        <v>IVA descontable factura FE-1099</v>
      </c>
      <c r="J493" s="24">
        <f ca="1">mercancia!I100</f>
        <v>149245</v>
      </c>
      <c r="K493" s="24">
        <f>0</f>
        <v>0</v>
      </c>
      <c r="L493" s="25" t="str">
        <f>mercancia!A100</f>
        <v>FE-1099</v>
      </c>
    </row>
    <row r="494" spans="1:12" x14ac:dyDescent="0.35">
      <c r="A494" s="20" t="str">
        <f>"CC-MC-"&amp;TEXT(1098,"0000")</f>
        <v>CC-MC-1098</v>
      </c>
      <c r="B494" s="21" t="str">
        <f>"Causación Compra"</f>
        <v>Causación Compra</v>
      </c>
      <c r="C494" s="22">
        <f ca="1">mercancia!B100</f>
        <v>46048</v>
      </c>
      <c r="D494" s="68" t="str">
        <f>"236540"</f>
        <v>236540</v>
      </c>
      <c r="E494" s="21" t="str">
        <f>"Retención en la fuente - Compras"</f>
        <v>Retención en la fuente - Compras</v>
      </c>
      <c r="F494" s="21" t="str">
        <f ca="1">mercancia!C100</f>
        <v>Hierros y Mallas Bello S.A.S.</v>
      </c>
      <c r="G494" s="23" t="str" cm="1">
        <f t="array" aca="1" ref="G494" ca="1">INDIRECT("mercancia!D"&amp;(INT((ROW()-2)/5)+2))</f>
        <v>900.901.234-9</v>
      </c>
      <c r="H494" s="21" t="str">
        <f>CHOOSE(MOD(98,3)+1,"CC-100 Bodega Central","CC-101 Sucursal Centro","CC-102 Sucursal Itagüí")</f>
        <v>CC-102 Sucursal Itagüí</v>
      </c>
      <c r="I494" s="21" t="str">
        <f ca="1">"ReteFuente "&amp;TEXT(mercancia!K100,"0.0%")&amp;" sobre compra "&amp;mercancia!A100</f>
        <v>ReteFuente 03% sobre compra FE-1099</v>
      </c>
      <c r="J494" s="24">
        <f>0</f>
        <v>0</v>
      </c>
      <c r="K494" s="24">
        <f ca="1">mercancia!L100</f>
        <v>19638</v>
      </c>
      <c r="L494" s="25" t="str">
        <f>mercancia!A100</f>
        <v>FE-1099</v>
      </c>
    </row>
    <row r="495" spans="1:12" x14ac:dyDescent="0.35">
      <c r="A495" s="20" t="str">
        <f>"CC-MC-"&amp;TEXT(1098,"0000")</f>
        <v>CC-MC-1098</v>
      </c>
      <c r="B495" s="21" t="str">
        <f>"Causación Compra"</f>
        <v>Causación Compra</v>
      </c>
      <c r="C495" s="22">
        <f ca="1">mercancia!B100</f>
        <v>46048</v>
      </c>
      <c r="D495" s="68" t="str">
        <f>"236805"</f>
        <v>236805</v>
      </c>
      <c r="E495" s="21" t="str">
        <f>"Retención ICA - Medellín 11.04‰"</f>
        <v>Retención ICA - Medellín 11.04‰</v>
      </c>
      <c r="F495" s="21" t="str">
        <f ca="1">mercancia!C100</f>
        <v>Hierros y Mallas Bello S.A.S.</v>
      </c>
      <c r="G495" s="23" t="str" cm="1">
        <f t="array" aca="1" ref="G495" ca="1">INDIRECT("mercancia!D"&amp;(INT((ROW()-2)/5)+2))</f>
        <v>900.901.234-9</v>
      </c>
      <c r="H495" s="21" t="str">
        <f>CHOOSE(MOD(98,3)+1,"CC-100 Bodega Central","CC-101 Sucursal Centro","CC-102 Sucursal Itagüí")</f>
        <v>CC-102 Sucursal Itagüí</v>
      </c>
      <c r="I495" s="21" t="str">
        <f>"ReteICA Medellín sobre compra "&amp;mercancia!A100</f>
        <v>ReteICA Medellín sobre compra FE-1099</v>
      </c>
      <c r="J495" s="24">
        <f>0</f>
        <v>0</v>
      </c>
      <c r="K495" s="24">
        <f ca="1">mercancia!N100</f>
        <v>8672</v>
      </c>
      <c r="L495" s="25" t="str">
        <f>mercancia!A100</f>
        <v>FE-1099</v>
      </c>
    </row>
    <row r="496" spans="1:12" x14ac:dyDescent="0.35">
      <c r="A496" s="20" t="str">
        <f>"CC-MC-"&amp;TEXT(1098,"0000")</f>
        <v>CC-MC-1098</v>
      </c>
      <c r="B496" s="21" t="str">
        <f>"Causación Compra"</f>
        <v>Causación Compra</v>
      </c>
      <c r="C496" s="22">
        <f ca="1">mercancia!B100</f>
        <v>46048</v>
      </c>
      <c r="D496" s="68" t="str">
        <f>"220505"</f>
        <v>220505</v>
      </c>
      <c r="E496" s="21" t="str">
        <f>"Proveedores nacionales"</f>
        <v>Proveedores nacionales</v>
      </c>
      <c r="F496" s="21" t="str">
        <f ca="1">mercancia!C100</f>
        <v>Hierros y Mallas Bello S.A.S.</v>
      </c>
      <c r="G496" s="23" t="str" cm="1">
        <f t="array" aca="1" ref="G496" ca="1">INDIRECT("mercancia!D"&amp;(INT((ROW()-2)/5)+2))</f>
        <v>900.901.234-9</v>
      </c>
      <c r="H496" s="21" t="str">
        <f>CHOOSE(MOD(98,3)+1,"CC-100 Bodega Central","CC-101 Sucursal Centro","CC-102 Sucursal Itagüí")</f>
        <v>CC-102 Sucursal Itagüí</v>
      </c>
      <c r="I496" s="21" t="str">
        <f>"Cuenta por pagar proveedor - "&amp;mercancia!A100</f>
        <v>Cuenta por pagar proveedor - FE-1099</v>
      </c>
      <c r="J496" s="24">
        <f>0</f>
        <v>0</v>
      </c>
      <c r="K496" s="24">
        <f ca="1">mercancia!O100</f>
        <v>906435</v>
      </c>
      <c r="L496" s="25" t="str">
        <f>mercancia!A100</f>
        <v>FE-1099</v>
      </c>
    </row>
    <row r="497" spans="1:12" x14ac:dyDescent="0.35">
      <c r="A497" s="26" t="str">
        <f>"CC-MC-"&amp;TEXT(1099,"0000")</f>
        <v>CC-MC-1099</v>
      </c>
      <c r="B497" s="27" t="str">
        <f>"Causación Compra"</f>
        <v>Causación Compra</v>
      </c>
      <c r="C497" s="28">
        <f ca="1">mercancia!B101</f>
        <v>46075</v>
      </c>
      <c r="D497" s="69" t="str">
        <f>"143505"</f>
        <v>143505</v>
      </c>
      <c r="E497" s="27" t="str">
        <f>"Mercancías no fabricadas por la empresa"</f>
        <v>Mercancías no fabricadas por la empresa</v>
      </c>
      <c r="F497" s="27" t="str">
        <f ca="1">mercancia!C101</f>
        <v>Distribuciones Itagüí Ferretera Ltda.</v>
      </c>
      <c r="G497" s="29" t="str" cm="1">
        <f t="array" aca="1" ref="G497" ca="1">INDIRECT("mercancia!D"&amp;(INT((ROW()-2)/5)+2))</f>
        <v>901.456.789-4</v>
      </c>
      <c r="H497" s="27" t="str">
        <f>CHOOSE(MOD(99,3)+1,"CC-100 Bodega Central","CC-101 Sucursal Centro","CC-102 Sucursal Itagüí")</f>
        <v>CC-100 Bodega Central</v>
      </c>
      <c r="I497" s="27" t="str">
        <f ca="1">"Compra mercancía - "&amp;mercancia!E101&amp;" - "&amp;mercancia!A101</f>
        <v>Compra mercancía - Suministros Ferreteros La 80 Ltda. - FE-1100</v>
      </c>
      <c r="J497" s="30">
        <f ca="1">mercancia!H101</f>
        <v>5080400</v>
      </c>
      <c r="K497" s="30">
        <f>0</f>
        <v>0</v>
      </c>
      <c r="L497" s="31" t="str">
        <f>mercancia!A101</f>
        <v>FE-1100</v>
      </c>
    </row>
    <row r="498" spans="1:12" x14ac:dyDescent="0.35">
      <c r="A498" s="26" t="str">
        <f>"CC-MC-"&amp;TEXT(1099,"0000")</f>
        <v>CC-MC-1099</v>
      </c>
      <c r="B498" s="27" t="str">
        <f>"Causación Compra"</f>
        <v>Causación Compra</v>
      </c>
      <c r="C498" s="28">
        <f ca="1">mercancia!B101</f>
        <v>46075</v>
      </c>
      <c r="D498" s="69" t="str">
        <f>"240805"</f>
        <v>240805</v>
      </c>
      <c r="E498" s="27" t="str">
        <f>"IVA descontable - 19%"</f>
        <v>IVA descontable - 19%</v>
      </c>
      <c r="F498" s="27" t="str">
        <f ca="1">mercancia!C101</f>
        <v>Distribuciones Itagüí Ferretera Ltda.</v>
      </c>
      <c r="G498" s="29" t="str" cm="1">
        <f t="array" aca="1" ref="G498" ca="1">INDIRECT("mercancia!D"&amp;(INT((ROW()-2)/5)+2))</f>
        <v>901.456.789-4</v>
      </c>
      <c r="H498" s="27" t="str">
        <f>CHOOSE(MOD(99,3)+1,"CC-100 Bodega Central","CC-101 Sucursal Centro","CC-102 Sucursal Itagüí")</f>
        <v>CC-100 Bodega Central</v>
      </c>
      <c r="I498" s="27" t="str">
        <f>"IVA descontable factura "&amp;mercancia!A101</f>
        <v>IVA descontable factura FE-1100</v>
      </c>
      <c r="J498" s="30">
        <f ca="1">mercancia!I101</f>
        <v>965276</v>
      </c>
      <c r="K498" s="30">
        <f>0</f>
        <v>0</v>
      </c>
      <c r="L498" s="31" t="str">
        <f>mercancia!A101</f>
        <v>FE-1100</v>
      </c>
    </row>
    <row r="499" spans="1:12" x14ac:dyDescent="0.35">
      <c r="A499" s="26" t="str">
        <f>"CC-MC-"&amp;TEXT(1099,"0000")</f>
        <v>CC-MC-1099</v>
      </c>
      <c r="B499" s="27" t="str">
        <f>"Causación Compra"</f>
        <v>Causación Compra</v>
      </c>
      <c r="C499" s="28">
        <f ca="1">mercancia!B101</f>
        <v>46075</v>
      </c>
      <c r="D499" s="69" t="str">
        <f>"236540"</f>
        <v>236540</v>
      </c>
      <c r="E499" s="27" t="str">
        <f>"Retención en la fuente - Compras"</f>
        <v>Retención en la fuente - Compras</v>
      </c>
      <c r="F499" s="27" t="str">
        <f ca="1">mercancia!C101</f>
        <v>Distribuciones Itagüí Ferretera Ltda.</v>
      </c>
      <c r="G499" s="29" t="str" cm="1">
        <f t="array" aca="1" ref="G499" ca="1">INDIRECT("mercancia!D"&amp;(INT((ROW()-2)/5)+2))</f>
        <v>901.456.789-4</v>
      </c>
      <c r="H499" s="27" t="str">
        <f>CHOOSE(MOD(99,3)+1,"CC-100 Bodega Central","CC-101 Sucursal Centro","CC-102 Sucursal Itagüí")</f>
        <v>CC-100 Bodega Central</v>
      </c>
      <c r="I499" s="27" t="str">
        <f ca="1">"ReteFuente "&amp;TEXT(mercancia!K101,"0.0%")&amp;" sobre compra "&amp;mercancia!A101</f>
        <v>ReteFuente 04% sobre compra FE-1100</v>
      </c>
      <c r="J499" s="30">
        <f>0</f>
        <v>0</v>
      </c>
      <c r="K499" s="30">
        <f ca="1">mercancia!L101</f>
        <v>177814</v>
      </c>
      <c r="L499" s="31" t="str">
        <f>mercancia!A101</f>
        <v>FE-1100</v>
      </c>
    </row>
    <row r="500" spans="1:12" x14ac:dyDescent="0.35">
      <c r="A500" s="47" t="str">
        <f>"CC-MC-"&amp;TEXT(1099,"0000")</f>
        <v>CC-MC-1099</v>
      </c>
      <c r="B500" s="48" t="str">
        <f>"Causación Compra"</f>
        <v>Causación Compra</v>
      </c>
      <c r="C500" s="49">
        <f ca="1">mercancia!B101</f>
        <v>46075</v>
      </c>
      <c r="D500" s="70" t="str">
        <f>"236805"</f>
        <v>236805</v>
      </c>
      <c r="E500" s="48" t="str">
        <f>"Retención ICA - Medellín 11.04‰"</f>
        <v>Retención ICA - Medellín 11.04‰</v>
      </c>
      <c r="F500" s="48" t="str">
        <f ca="1">mercancia!C101</f>
        <v>Distribuciones Itagüí Ferretera Ltda.</v>
      </c>
      <c r="G500" s="50" t="str" cm="1">
        <f t="array" aca="1" ref="G500" ca="1">INDIRECT("mercancia!D"&amp;(INT((ROW()-2)/5)+2))</f>
        <v>901.456.789-4</v>
      </c>
      <c r="H500" s="48" t="str">
        <f>CHOOSE(MOD(99,3)+1,"CC-100 Bodega Central","CC-101 Sucursal Centro","CC-102 Sucursal Itagüí")</f>
        <v>CC-100 Bodega Central</v>
      </c>
      <c r="I500" s="48" t="str">
        <f>"ReteICA Medellín sobre compra "&amp;mercancia!A101</f>
        <v>ReteICA Medellín sobre compra FE-1100</v>
      </c>
      <c r="J500" s="51">
        <f>0</f>
        <v>0</v>
      </c>
      <c r="K500" s="51">
        <f ca="1">mercancia!N101</f>
        <v>56088</v>
      </c>
      <c r="L500" s="52" t="str">
        <f>mercancia!A101</f>
        <v>FE-1100</v>
      </c>
    </row>
    <row r="501" spans="1:12" ht="15" thickBot="1" x14ac:dyDescent="0.4">
      <c r="A501" s="58" t="str">
        <f>"CC-MC-"&amp;TEXT(1099,"0000")</f>
        <v>CC-MC-1099</v>
      </c>
      <c r="B501" s="59" t="str">
        <f>"Causación Compra"</f>
        <v>Causación Compra</v>
      </c>
      <c r="C501" s="60">
        <f ca="1">mercancia!B101</f>
        <v>46075</v>
      </c>
      <c r="D501" s="71" t="str">
        <f>"220505"</f>
        <v>220505</v>
      </c>
      <c r="E501" s="59" t="str">
        <f>"Proveedores nacionales"</f>
        <v>Proveedores nacionales</v>
      </c>
      <c r="F501" s="59" t="str">
        <f ca="1">mercancia!C101</f>
        <v>Distribuciones Itagüí Ferretera Ltda.</v>
      </c>
      <c r="G501" s="61" t="str" cm="1">
        <f t="array" aca="1" ref="G501" ca="1">INDIRECT("mercancia!D"&amp;(INT((ROW()-2)/5)+2))</f>
        <v>901.456.789-4</v>
      </c>
      <c r="H501" s="59" t="str">
        <f>CHOOSE(MOD(99,3)+1,"CC-100 Bodega Central","CC-101 Sucursal Centro","CC-102 Sucursal Itagüí")</f>
        <v>CC-100 Bodega Central</v>
      </c>
      <c r="I501" s="59" t="str">
        <f>"Cuenta por pagar proveedor - "&amp;mercancia!A101</f>
        <v>Cuenta por pagar proveedor - FE-1100</v>
      </c>
      <c r="J501" s="62">
        <f>0</f>
        <v>0</v>
      </c>
      <c r="K501" s="62">
        <f ca="1">mercancia!O101</f>
        <v>5811774</v>
      </c>
      <c r="L501" s="63" t="str">
        <f>mercancia!A101</f>
        <v>FE-1100</v>
      </c>
    </row>
    <row r="502" spans="1:12" ht="15" thickTop="1" x14ac:dyDescent="0.35">
      <c r="A502" s="53" t="str">
        <f>"CE-GA-"&amp;TEXT(5000,"0000")</f>
        <v>CE-GA-5000</v>
      </c>
      <c r="B502" s="54" t="str">
        <f>"Causación Gasto"</f>
        <v>Causación Gasto</v>
      </c>
      <c r="C502" s="55">
        <f ca="1">Gastos_Administrativos!B2</f>
        <v>46123</v>
      </c>
      <c r="D502" s="72" t="str">
        <f ca="1">CHOOSE(MATCH(Gastos_Administrativos!F2,{"Arrendamientos";"Servicios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514505</v>
      </c>
      <c r="E502" s="54" t="str">
        <f ca="1">CHOOSE(MATCH(Gastos_Administrativos!F2,{"Arrendamientos";"Servicios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Mantenimiento y reparaciones</v>
      </c>
      <c r="F502" s="54" t="str">
        <f ca="1">Gastos_Administrativos!D2</f>
        <v>Servientrega S.A.</v>
      </c>
      <c r="G502" s="54" t="str">
        <f ca="1">Gastos_Administrativos!E2</f>
        <v>860512330-3</v>
      </c>
      <c r="H502" s="54" t="str">
        <f ca="1">"CC-2"&amp;TEXT(MATCH(Gastos_Administrativos!G2,{"Administración";"Ventas";"Bodega";"Logística";"Gerencia"},0),"00")&amp;" "&amp;Gastos_Administrativos!G2</f>
        <v>CC-202 Ventas</v>
      </c>
      <c r="I502" s="54" t="str">
        <f ca="1">"Causación gasto - "&amp;Gastos_Administrativos!C2&amp;" - "&amp;Gastos_Administrativos!A2</f>
        <v>Causación gasto - Mantenimiento equipos de cómputo - GA-2000</v>
      </c>
      <c r="J502" s="56">
        <f ca="1">Gastos_Administrativos!H2</f>
        <v>1469100</v>
      </c>
      <c r="K502" s="56">
        <f>0</f>
        <v>0</v>
      </c>
      <c r="L502" s="57" t="str">
        <f>Gastos_Administrativos!A2</f>
        <v>GA-2000</v>
      </c>
    </row>
    <row r="503" spans="1:12" x14ac:dyDescent="0.35">
      <c r="A503" s="32" t="str">
        <f>"CE-GA-"&amp;TEXT(5000,"0000")</f>
        <v>CE-GA-5000</v>
      </c>
      <c r="B503" s="33" t="str">
        <f>"Causación Gasto"</f>
        <v>Causación Gasto</v>
      </c>
      <c r="C503" s="34">
        <f ca="1">Gastos_Administrativos!B2</f>
        <v>46123</v>
      </c>
      <c r="D503" s="73" t="str">
        <f>"240810"</f>
        <v>240810</v>
      </c>
      <c r="E503" s="33" t="str">
        <f>"IVA descontable - servicios/compras"</f>
        <v>IVA descontable - servicios/compras</v>
      </c>
      <c r="F503" s="33" t="str">
        <f ca="1">Gastos_Administrativos!D2</f>
        <v>Servientrega S.A.</v>
      </c>
      <c r="G503" s="33" t="str">
        <f ca="1">Gastos_Administrativos!E2</f>
        <v>860512330-3</v>
      </c>
      <c r="H503" s="33" t="str">
        <f ca="1">"CC-2"&amp;TEXT(MATCH(Gastos_Administrativos!G2,{"Administración";"Ventas";"Bodega";"Logística";"Gerencia"},0),"00")&amp;" "&amp;Gastos_Administrativos!G2</f>
        <v>CC-202 Ventas</v>
      </c>
      <c r="I503" s="33" t="str">
        <f>"IVA descontable factura "&amp;Gastos_Administrativos!A2</f>
        <v>IVA descontable factura GA-2000</v>
      </c>
      <c r="J503" s="35">
        <f ca="1">Gastos_Administrativos!J2</f>
        <v>279129</v>
      </c>
      <c r="K503" s="35">
        <f>0</f>
        <v>0</v>
      </c>
      <c r="L503" s="36" t="str">
        <f>Gastos_Administrativos!A2</f>
        <v>GA-2000</v>
      </c>
    </row>
    <row r="504" spans="1:12" x14ac:dyDescent="0.35">
      <c r="A504" s="32" t="str">
        <f>"CE-GA-"&amp;TEXT(5000,"0000")</f>
        <v>CE-GA-5000</v>
      </c>
      <c r="B504" s="33" t="str">
        <f>"Causación Gasto"</f>
        <v>Causación Gasto</v>
      </c>
      <c r="C504" s="34">
        <f ca="1">Gastos_Administrativos!B2</f>
        <v>46123</v>
      </c>
      <c r="D504" s="73" t="str">
        <f ca="1">IF(Gastos_Administrativos!L2=0,"236540",CHOOSE(MATCH(Gastos_Administrativos!F2,{"Arrendamientos";"Servicios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236530</v>
      </c>
      <c r="E504" s="33" t="str">
        <f ca="1">"ReteFuente "&amp;TEXT(Gastos_Administrativos!L2,"0.00%")&amp;" - "&amp;Gastos_Administrativos!F2</f>
        <v>ReteFuente 004% - Mantenimiento</v>
      </c>
      <c r="F504" s="33" t="str">
        <f ca="1">Gastos_Administrativos!D2</f>
        <v>Servientrega S.A.</v>
      </c>
      <c r="G504" s="33" t="str">
        <f ca="1">Gastos_Administrativos!E2</f>
        <v>860512330-3</v>
      </c>
      <c r="H504" s="33" t="str">
        <f ca="1">"CC-2"&amp;TEXT(MATCH(Gastos_Administrativos!G2,{"Administración";"Ventas";"Bodega";"Logística";"Gerencia"},0),"00")&amp;" "&amp;Gastos_Administrativos!G2</f>
        <v>CC-202 Ventas</v>
      </c>
      <c r="I504" s="33" t="str">
        <f ca="1">"ReteFuente "&amp;Gastos_Administrativos!C2&amp;" - "&amp;Gastos_Administrativos!A2</f>
        <v>ReteFuente Mantenimiento equipos de cómputo - GA-2000</v>
      </c>
      <c r="J504" s="35">
        <f>0</f>
        <v>0</v>
      </c>
      <c r="K504" s="35">
        <f ca="1">Gastos_Administrativos!M2</f>
        <v>58764</v>
      </c>
      <c r="L504" s="36" t="str">
        <f>Gastos_Administrativos!A2</f>
        <v>GA-2000</v>
      </c>
    </row>
    <row r="505" spans="1:12" x14ac:dyDescent="0.35">
      <c r="A505" s="32" t="str">
        <f>"CE-GA-"&amp;TEXT(5000,"0000")</f>
        <v>CE-GA-5000</v>
      </c>
      <c r="B505" s="33" t="str">
        <f>"Causación Gasto"</f>
        <v>Causación Gasto</v>
      </c>
      <c r="C505" s="34">
        <f ca="1">Gastos_Administrativos!B2</f>
        <v>46123</v>
      </c>
      <c r="D505" s="73" t="str">
        <f>"236701"</f>
        <v>236701</v>
      </c>
      <c r="E505" s="33" t="str">
        <f>"Retención IVA - Régimen común 15%"</f>
        <v>Retención IVA - Régimen común 15%</v>
      </c>
      <c r="F505" s="33" t="str">
        <f ca="1">Gastos_Administrativos!D2</f>
        <v>Servientrega S.A.</v>
      </c>
      <c r="G505" s="33" t="str">
        <f ca="1">Gastos_Administrativos!E2</f>
        <v>860512330-3</v>
      </c>
      <c r="H505" s="33" t="str">
        <f ca="1">"CC-2"&amp;TEXT(MATCH(Gastos_Administrativos!G2,{"Administración";"Ventas";"Bodega";"Logística";"Gerencia"},0),"00")&amp;" "&amp;Gastos_Administrativos!G2</f>
        <v>CC-202 Ventas</v>
      </c>
      <c r="I505" s="33" t="str">
        <f>"ReteIVA 15% sobre IVA factura "&amp;Gastos_Administrativos!A2</f>
        <v>ReteIVA 15% sobre IVA factura GA-2000</v>
      </c>
      <c r="J505" s="35">
        <f>0</f>
        <v>0</v>
      </c>
      <c r="K505" s="35">
        <f ca="1">Gastos_Administrativos!O2</f>
        <v>41869</v>
      </c>
      <c r="L505" s="36" t="str">
        <f>Gastos_Administrativos!A2</f>
        <v>GA-2000</v>
      </c>
    </row>
    <row r="506" spans="1:12" x14ac:dyDescent="0.35">
      <c r="A506" s="32" t="str">
        <f>"CE-GA-"&amp;TEXT(5000,"0000")</f>
        <v>CE-GA-5000</v>
      </c>
      <c r="B506" s="33" t="str">
        <f>"Causación Gasto"</f>
        <v>Causación Gasto</v>
      </c>
      <c r="C506" s="34">
        <f ca="1">Gastos_Administrativos!B2</f>
        <v>46123</v>
      </c>
      <c r="D506" s="73" t="str">
        <f>"236805"</f>
        <v>236805</v>
      </c>
      <c r="E506" s="33" t="str">
        <f>"Retención ICA - Medellín 11.04‰"</f>
        <v>Retención ICA - Medellín 11.04‰</v>
      </c>
      <c r="F506" s="33" t="str">
        <f ca="1">Gastos_Administrativos!D2</f>
        <v>Servientrega S.A.</v>
      </c>
      <c r="G506" s="33" t="str">
        <f ca="1">Gastos_Administrativos!E2</f>
        <v>860512330-3</v>
      </c>
      <c r="H506" s="33" t="str">
        <f ca="1">"CC-2"&amp;TEXT(MATCH(Gastos_Administrativos!G2,{"Administración";"Ventas";"Bodega";"Logística";"Gerencia"},0),"00")&amp;" "&amp;Gastos_Administrativos!G2</f>
        <v>CC-202 Ventas</v>
      </c>
      <c r="I506" s="33" t="str">
        <f>"ReteICA Medellín sobre gasto "&amp;Gastos_Administrativos!A2</f>
        <v>ReteICA Medellín sobre gasto GA-2000</v>
      </c>
      <c r="J506" s="35">
        <f>0</f>
        <v>0</v>
      </c>
      <c r="K506" s="35">
        <f ca="1">Gastos_Administrativos!Q2</f>
        <v>16219</v>
      </c>
      <c r="L506" s="36" t="str">
        <f>Gastos_Administrativos!A2</f>
        <v>GA-2000</v>
      </c>
    </row>
    <row r="507" spans="1:12" x14ac:dyDescent="0.35">
      <c r="A507" s="32" t="str">
        <f>"CE-GA-"&amp;TEXT(5000,"0000")</f>
        <v>CE-GA-5000</v>
      </c>
      <c r="B507" s="33" t="str">
        <f>"Causación Gasto"</f>
        <v>Causación Gasto</v>
      </c>
      <c r="C507" s="34">
        <f ca="1">Gastos_Administrativos!B2</f>
        <v>46123</v>
      </c>
      <c r="D507" s="73" t="str">
        <f>"233525"</f>
        <v>233525</v>
      </c>
      <c r="E507" s="33" t="str">
        <f>"Costos y gastos por pagar"</f>
        <v>Costos y gastos por pagar</v>
      </c>
      <c r="F507" s="33" t="str">
        <f ca="1">Gastos_Administrativos!D2</f>
        <v>Servientrega S.A.</v>
      </c>
      <c r="G507" s="33" t="str">
        <f ca="1">Gastos_Administrativos!E2</f>
        <v>860512330-3</v>
      </c>
      <c r="H507" s="33" t="str">
        <f ca="1">"CC-2"&amp;TEXT(MATCH(Gastos_Administrativos!G2,{"Administración";"Ventas";"Bodega";"Logística";"Gerencia"},0),"00")&amp;" "&amp;Gastos_Administrativos!G2</f>
        <v>CC-202 Ventas</v>
      </c>
      <c r="I507" s="33" t="str">
        <f ca="1">"CxP gasto - "&amp;Gastos_Administrativos!D2&amp;" - "&amp;Gastos_Administrativos!A2</f>
        <v>CxP gasto - Servientrega S.A. - GA-2000</v>
      </c>
      <c r="J507" s="35">
        <f>0</f>
        <v>0</v>
      </c>
      <c r="K507" s="35">
        <f ca="1">Gastos_Administrativos!R2</f>
        <v>1631377</v>
      </c>
      <c r="L507" s="36" t="str">
        <f>Gastos_Administrativos!A2</f>
        <v>GA-2000</v>
      </c>
    </row>
    <row r="508" spans="1:12" x14ac:dyDescent="0.35">
      <c r="A508" s="37" t="str">
        <f>"CE-GA-"&amp;TEXT(5001,"0000")</f>
        <v>CE-GA-5001</v>
      </c>
      <c r="B508" s="38" t="str">
        <f>"Causación Gasto"</f>
        <v>Causación Gasto</v>
      </c>
      <c r="C508" s="39">
        <f ca="1">Gastos_Administrativos!B3</f>
        <v>46098</v>
      </c>
      <c r="D508" s="74" t="str">
        <f ca="1">CHOOSE(MATCH(Gastos_Administrativos!F3,{"Arrendamientos";"Servicios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511510</v>
      </c>
      <c r="E508" s="38" t="str">
        <f ca="1">CHOOSE(MATCH(Gastos_Administrativos!F3,{"Arrendamientos";"Servicios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Legales</v>
      </c>
      <c r="F508" s="38" t="str">
        <f ca="1">Gastos_Administrativos!D3</f>
        <v>Facturación Electrónica Alegra S.A.S.</v>
      </c>
      <c r="G508" s="38" t="str">
        <f ca="1">Gastos_Administrativos!E3</f>
        <v>900912345-0</v>
      </c>
      <c r="H508" s="38" t="str">
        <f ca="1">"CC-2"&amp;TEXT(MATCH(Gastos_Administrativos!G3,{"Administración";"Ventas";"Bodega";"Logística";"Gerencia"},0),"00")&amp;" "&amp;Gastos_Administrativos!G3</f>
        <v>CC-202 Ventas</v>
      </c>
      <c r="I508" s="38" t="str">
        <f ca="1">"Causación gasto - "&amp;Gastos_Administrativos!C3&amp;" - "&amp;Gastos_Administrativos!A3</f>
        <v>Causación gasto - Suscripción cámara de comercio - GA-2001</v>
      </c>
      <c r="J508" s="40">
        <f ca="1">Gastos_Administrativos!H3</f>
        <v>8238200</v>
      </c>
      <c r="K508" s="40">
        <f>0</f>
        <v>0</v>
      </c>
      <c r="L508" s="41" t="str">
        <f>Gastos_Administrativos!A3</f>
        <v>GA-2001</v>
      </c>
    </row>
    <row r="509" spans="1:12" x14ac:dyDescent="0.35">
      <c r="A509" s="37" t="str">
        <f>"CE-GA-"&amp;TEXT(5001,"0000")</f>
        <v>CE-GA-5001</v>
      </c>
      <c r="B509" s="38" t="str">
        <f>"Causación Gasto"</f>
        <v>Causación Gasto</v>
      </c>
      <c r="C509" s="39">
        <f ca="1">Gastos_Administrativos!B3</f>
        <v>46098</v>
      </c>
      <c r="D509" s="74" t="str">
        <f>"240810"</f>
        <v>240810</v>
      </c>
      <c r="E509" s="38" t="str">
        <f>"IVA descontable - servicios/compras"</f>
        <v>IVA descontable - servicios/compras</v>
      </c>
      <c r="F509" s="38" t="str">
        <f ca="1">Gastos_Administrativos!D3</f>
        <v>Facturación Electrónica Alegra S.A.S.</v>
      </c>
      <c r="G509" s="38" t="str">
        <f ca="1">Gastos_Administrativos!E3</f>
        <v>900912345-0</v>
      </c>
      <c r="H509" s="38" t="str">
        <f ca="1">"CC-2"&amp;TEXT(MATCH(Gastos_Administrativos!G3,{"Administración";"Ventas";"Bodega";"Logística";"Gerencia"},0),"00")&amp;" "&amp;Gastos_Administrativos!G3</f>
        <v>CC-202 Ventas</v>
      </c>
      <c r="I509" s="38" t="str">
        <f>"IVA descontable factura "&amp;Gastos_Administrativos!A3</f>
        <v>IVA descontable factura GA-2001</v>
      </c>
      <c r="J509" s="40">
        <f ca="1">Gastos_Administrativos!J3</f>
        <v>0</v>
      </c>
      <c r="K509" s="40">
        <f>0</f>
        <v>0</v>
      </c>
      <c r="L509" s="41" t="str">
        <f>Gastos_Administrativos!A3</f>
        <v>GA-2001</v>
      </c>
    </row>
    <row r="510" spans="1:12" x14ac:dyDescent="0.35">
      <c r="A510" s="37" t="str">
        <f>"CE-GA-"&amp;TEXT(5001,"0000")</f>
        <v>CE-GA-5001</v>
      </c>
      <c r="B510" s="38" t="str">
        <f>"Causación Gasto"</f>
        <v>Causación Gasto</v>
      </c>
      <c r="C510" s="39">
        <f ca="1">Gastos_Administrativos!B3</f>
        <v>46098</v>
      </c>
      <c r="D510" s="74" t="str">
        <f ca="1">IF(Gastos_Administrativos!L3=0,"236540",CHOOSE(MATCH(Gastos_Administrativos!F3,{"Arrendamientos";"Servicios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510" s="38" t="str">
        <f ca="1">"ReteFuente "&amp;TEXT(Gastos_Administrativos!L3,"0.00%")&amp;" - "&amp;Gastos_Administrativos!F3</f>
        <v>ReteFuente 000% - Legales</v>
      </c>
      <c r="F510" s="38" t="str">
        <f ca="1">Gastos_Administrativos!D3</f>
        <v>Facturación Electrónica Alegra S.A.S.</v>
      </c>
      <c r="G510" s="38" t="str">
        <f ca="1">Gastos_Administrativos!E3</f>
        <v>900912345-0</v>
      </c>
      <c r="H510" s="38" t="str">
        <f ca="1">"CC-2"&amp;TEXT(MATCH(Gastos_Administrativos!G3,{"Administración";"Ventas";"Bodega";"Logística";"Gerencia"},0),"00")&amp;" "&amp;Gastos_Administrativos!G3</f>
        <v>CC-202 Ventas</v>
      </c>
      <c r="I510" s="38" t="str">
        <f ca="1">"ReteFuente "&amp;Gastos_Administrativos!C3&amp;" - "&amp;Gastos_Administrativos!A3</f>
        <v>ReteFuente Suscripción cámara de comercio - GA-2001</v>
      </c>
      <c r="J510" s="40">
        <f>0</f>
        <v>0</v>
      </c>
      <c r="K510" s="40">
        <f ca="1">Gastos_Administrativos!M3</f>
        <v>0</v>
      </c>
      <c r="L510" s="41" t="str">
        <f>Gastos_Administrativos!A3</f>
        <v>GA-2001</v>
      </c>
    </row>
    <row r="511" spans="1:12" x14ac:dyDescent="0.35">
      <c r="A511" s="37" t="str">
        <f>"CE-GA-"&amp;TEXT(5001,"0000")</f>
        <v>CE-GA-5001</v>
      </c>
      <c r="B511" s="38" t="str">
        <f>"Causación Gasto"</f>
        <v>Causación Gasto</v>
      </c>
      <c r="C511" s="39">
        <f ca="1">Gastos_Administrativos!B3</f>
        <v>46098</v>
      </c>
      <c r="D511" s="74" t="str">
        <f>"236701"</f>
        <v>236701</v>
      </c>
      <c r="E511" s="38" t="str">
        <f>"Retención IVA - Régimen común 15%"</f>
        <v>Retención IVA - Régimen común 15%</v>
      </c>
      <c r="F511" s="38" t="str">
        <f ca="1">Gastos_Administrativos!D3</f>
        <v>Facturación Electrónica Alegra S.A.S.</v>
      </c>
      <c r="G511" s="38" t="str">
        <f ca="1">Gastos_Administrativos!E3</f>
        <v>900912345-0</v>
      </c>
      <c r="H511" s="38" t="str">
        <f ca="1">"CC-2"&amp;TEXT(MATCH(Gastos_Administrativos!G3,{"Administración";"Ventas";"Bodega";"Logística";"Gerencia"},0),"00")&amp;" "&amp;Gastos_Administrativos!G3</f>
        <v>CC-202 Ventas</v>
      </c>
      <c r="I511" s="38" t="str">
        <f>"ReteIVA 15% sobre IVA factura "&amp;Gastos_Administrativos!A3</f>
        <v>ReteIVA 15% sobre IVA factura GA-2001</v>
      </c>
      <c r="J511" s="40">
        <f>0</f>
        <v>0</v>
      </c>
      <c r="K511" s="40">
        <f ca="1">Gastos_Administrativos!O3</f>
        <v>0</v>
      </c>
      <c r="L511" s="41" t="str">
        <f>Gastos_Administrativos!A3</f>
        <v>GA-2001</v>
      </c>
    </row>
    <row r="512" spans="1:12" x14ac:dyDescent="0.35">
      <c r="A512" s="37" t="str">
        <f>"CE-GA-"&amp;TEXT(5001,"0000")</f>
        <v>CE-GA-5001</v>
      </c>
      <c r="B512" s="38" t="str">
        <f>"Causación Gasto"</f>
        <v>Causación Gasto</v>
      </c>
      <c r="C512" s="39">
        <f ca="1">Gastos_Administrativos!B3</f>
        <v>46098</v>
      </c>
      <c r="D512" s="74" t="str">
        <f>"236805"</f>
        <v>236805</v>
      </c>
      <c r="E512" s="38" t="str">
        <f>"Retención ICA - Medellín 11.04‰"</f>
        <v>Retención ICA - Medellín 11.04‰</v>
      </c>
      <c r="F512" s="38" t="str">
        <f ca="1">Gastos_Administrativos!D3</f>
        <v>Facturación Electrónica Alegra S.A.S.</v>
      </c>
      <c r="G512" s="38" t="str">
        <f ca="1">Gastos_Administrativos!E3</f>
        <v>900912345-0</v>
      </c>
      <c r="H512" s="38" t="str">
        <f ca="1">"CC-2"&amp;TEXT(MATCH(Gastos_Administrativos!G3,{"Administración";"Ventas";"Bodega";"Logística";"Gerencia"},0),"00")&amp;" "&amp;Gastos_Administrativos!G3</f>
        <v>CC-202 Ventas</v>
      </c>
      <c r="I512" s="38" t="str">
        <f>"ReteICA Medellín sobre gasto "&amp;Gastos_Administrativos!A3</f>
        <v>ReteICA Medellín sobre gasto GA-2001</v>
      </c>
      <c r="J512" s="40">
        <f>0</f>
        <v>0</v>
      </c>
      <c r="K512" s="40">
        <f ca="1">Gastos_Administrativos!Q3</f>
        <v>90950</v>
      </c>
      <c r="L512" s="41" t="str">
        <f>Gastos_Administrativos!A3</f>
        <v>GA-2001</v>
      </c>
    </row>
    <row r="513" spans="1:12" x14ac:dyDescent="0.35">
      <c r="A513" s="37" t="str">
        <f>"CE-GA-"&amp;TEXT(5001,"0000")</f>
        <v>CE-GA-5001</v>
      </c>
      <c r="B513" s="38" t="str">
        <f>"Causación Gasto"</f>
        <v>Causación Gasto</v>
      </c>
      <c r="C513" s="39">
        <f ca="1">Gastos_Administrativos!B3</f>
        <v>46098</v>
      </c>
      <c r="D513" s="74" t="str">
        <f>"233525"</f>
        <v>233525</v>
      </c>
      <c r="E513" s="38" t="str">
        <f>"Costos y gastos por pagar"</f>
        <v>Costos y gastos por pagar</v>
      </c>
      <c r="F513" s="38" t="str">
        <f ca="1">Gastos_Administrativos!D3</f>
        <v>Facturación Electrónica Alegra S.A.S.</v>
      </c>
      <c r="G513" s="38" t="str">
        <f ca="1">Gastos_Administrativos!E3</f>
        <v>900912345-0</v>
      </c>
      <c r="H513" s="38" t="str">
        <f ca="1">"CC-2"&amp;TEXT(MATCH(Gastos_Administrativos!G3,{"Administración";"Ventas";"Bodega";"Logística";"Gerencia"},0),"00")&amp;" "&amp;Gastos_Administrativos!G3</f>
        <v>CC-202 Ventas</v>
      </c>
      <c r="I513" s="38" t="str">
        <f ca="1">"CxP gasto - "&amp;Gastos_Administrativos!D3&amp;" - "&amp;Gastos_Administrativos!A3</f>
        <v>CxP gasto - Facturación Electrónica Alegra S.A.S. - GA-2001</v>
      </c>
      <c r="J513" s="40">
        <f>0</f>
        <v>0</v>
      </c>
      <c r="K513" s="40">
        <f ca="1">Gastos_Administrativos!R3</f>
        <v>8147250</v>
      </c>
      <c r="L513" s="41" t="str">
        <f>Gastos_Administrativos!A3</f>
        <v>GA-2001</v>
      </c>
    </row>
    <row r="514" spans="1:12" x14ac:dyDescent="0.35">
      <c r="A514" s="32" t="str">
        <f>"CE-GA-"&amp;TEXT(5002,"0000")</f>
        <v>CE-GA-5002</v>
      </c>
      <c r="B514" s="33" t="str">
        <f>"Causación Gasto"</f>
        <v>Causación Gasto</v>
      </c>
      <c r="C514" s="34">
        <f ca="1">Gastos_Administrativos!B4</f>
        <v>46058</v>
      </c>
      <c r="D514" s="73" t="str">
        <f ca="1">CHOOSE(MATCH(Gastos_Administrativos!F4,{"Arrendamientos";"Servicios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523510</v>
      </c>
      <c r="E514" s="33" t="str">
        <f ca="1">CHOOSE(MATCH(Gastos_Administrativos!F4,{"Arrendamientos";"Servicios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Publicidad y propaganda</v>
      </c>
      <c r="F514" s="33" t="str">
        <f ca="1">Gastos_Administrativos!D4</f>
        <v>Distribuidora Café Aburrá Ltda.</v>
      </c>
      <c r="G514" s="33" t="str">
        <f ca="1">Gastos_Administrativos!E4</f>
        <v>901890123-7</v>
      </c>
      <c r="H514" s="33" t="str">
        <f ca="1">"CC-2"&amp;TEXT(MATCH(Gastos_Administrativos!G4,{"Administración";"Ventas";"Bodega";"Logística";"Gerencia"},0),"00")&amp;" "&amp;Gastos_Administrativos!G4</f>
        <v>CC-205 Gerencia</v>
      </c>
      <c r="I514" s="33" t="str">
        <f ca="1">"Causación gasto - "&amp;Gastos_Administrativos!C4&amp;" - "&amp;Gastos_Administrativos!A4</f>
        <v>Causación gasto - Publicidad redes sociales - GA-2002</v>
      </c>
      <c r="J514" s="35">
        <f ca="1">Gastos_Administrativos!H4</f>
        <v>773700</v>
      </c>
      <c r="K514" s="35">
        <f>0</f>
        <v>0</v>
      </c>
      <c r="L514" s="36" t="str">
        <f>Gastos_Administrativos!A4</f>
        <v>GA-2002</v>
      </c>
    </row>
    <row r="515" spans="1:12" x14ac:dyDescent="0.35">
      <c r="A515" s="32" t="str">
        <f>"CE-GA-"&amp;TEXT(5002,"0000")</f>
        <v>CE-GA-5002</v>
      </c>
      <c r="B515" s="33" t="str">
        <f>"Causación Gasto"</f>
        <v>Causación Gasto</v>
      </c>
      <c r="C515" s="34">
        <f ca="1">Gastos_Administrativos!B4</f>
        <v>46058</v>
      </c>
      <c r="D515" s="73" t="str">
        <f>"240810"</f>
        <v>240810</v>
      </c>
      <c r="E515" s="33" t="str">
        <f>"IVA descontable - servicios/compras"</f>
        <v>IVA descontable - servicios/compras</v>
      </c>
      <c r="F515" s="33" t="str">
        <f ca="1">Gastos_Administrativos!D4</f>
        <v>Distribuidora Café Aburrá Ltda.</v>
      </c>
      <c r="G515" s="33" t="str">
        <f ca="1">Gastos_Administrativos!E4</f>
        <v>901890123-7</v>
      </c>
      <c r="H515" s="33" t="str">
        <f ca="1">"CC-2"&amp;TEXT(MATCH(Gastos_Administrativos!G4,{"Administración";"Ventas";"Bodega";"Logística";"Gerencia"},0),"00")&amp;" "&amp;Gastos_Administrativos!G4</f>
        <v>CC-205 Gerencia</v>
      </c>
      <c r="I515" s="33" t="str">
        <f>"IVA descontable factura "&amp;Gastos_Administrativos!A4</f>
        <v>IVA descontable factura GA-2002</v>
      </c>
      <c r="J515" s="35">
        <f ca="1">Gastos_Administrativos!J4</f>
        <v>147003</v>
      </c>
      <c r="K515" s="35">
        <f>0</f>
        <v>0</v>
      </c>
      <c r="L515" s="36" t="str">
        <f>Gastos_Administrativos!A4</f>
        <v>GA-2002</v>
      </c>
    </row>
    <row r="516" spans="1:12" x14ac:dyDescent="0.35">
      <c r="A516" s="32" t="str">
        <f>"CE-GA-"&amp;TEXT(5002,"0000")</f>
        <v>CE-GA-5002</v>
      </c>
      <c r="B516" s="33" t="str">
        <f>"Causación Gasto"</f>
        <v>Causación Gasto</v>
      </c>
      <c r="C516" s="34">
        <f ca="1">Gastos_Administrativos!B4</f>
        <v>46058</v>
      </c>
      <c r="D516" s="73" t="str">
        <f ca="1">IF(Gastos_Administrativos!L4=0,"236540",CHOOSE(MATCH(Gastos_Administrativos!F4,{"Arrendamientos";"Servicios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516" s="33" t="str">
        <f ca="1">"ReteFuente "&amp;TEXT(Gastos_Administrativos!L4,"0.00%")&amp;" - "&amp;Gastos_Administrativos!F4</f>
        <v>ReteFuente 004% - Publicidad</v>
      </c>
      <c r="F516" s="33" t="str">
        <f ca="1">Gastos_Administrativos!D4</f>
        <v>Distribuidora Café Aburrá Ltda.</v>
      </c>
      <c r="G516" s="33" t="str">
        <f ca="1">Gastos_Administrativos!E4</f>
        <v>901890123-7</v>
      </c>
      <c r="H516" s="33" t="str">
        <f ca="1">"CC-2"&amp;TEXT(MATCH(Gastos_Administrativos!G4,{"Administración";"Ventas";"Bodega";"Logística";"Gerencia"},0),"00")&amp;" "&amp;Gastos_Administrativos!G4</f>
        <v>CC-205 Gerencia</v>
      </c>
      <c r="I516" s="33" t="str">
        <f ca="1">"ReteFuente "&amp;Gastos_Administrativos!C4&amp;" - "&amp;Gastos_Administrativos!A4</f>
        <v>ReteFuente Publicidad redes sociales - GA-2002</v>
      </c>
      <c r="J516" s="35">
        <f>0</f>
        <v>0</v>
      </c>
      <c r="K516" s="35">
        <f ca="1">Gastos_Administrativos!M4</f>
        <v>30948</v>
      </c>
      <c r="L516" s="36" t="str">
        <f>Gastos_Administrativos!A4</f>
        <v>GA-2002</v>
      </c>
    </row>
    <row r="517" spans="1:12" x14ac:dyDescent="0.35">
      <c r="A517" s="32" t="str">
        <f>"CE-GA-"&amp;TEXT(5002,"0000")</f>
        <v>CE-GA-5002</v>
      </c>
      <c r="B517" s="33" t="str">
        <f>"Causación Gasto"</f>
        <v>Causación Gasto</v>
      </c>
      <c r="C517" s="34">
        <f ca="1">Gastos_Administrativos!B4</f>
        <v>46058</v>
      </c>
      <c r="D517" s="73" t="str">
        <f>"236701"</f>
        <v>236701</v>
      </c>
      <c r="E517" s="33" t="str">
        <f>"Retención IVA - Régimen común 15%"</f>
        <v>Retención IVA - Régimen común 15%</v>
      </c>
      <c r="F517" s="33" t="str">
        <f ca="1">Gastos_Administrativos!D4</f>
        <v>Distribuidora Café Aburrá Ltda.</v>
      </c>
      <c r="G517" s="33" t="str">
        <f ca="1">Gastos_Administrativos!E4</f>
        <v>901890123-7</v>
      </c>
      <c r="H517" s="33" t="str">
        <f ca="1">"CC-2"&amp;TEXT(MATCH(Gastos_Administrativos!G4,{"Administración";"Ventas";"Bodega";"Logística";"Gerencia"},0),"00")&amp;" "&amp;Gastos_Administrativos!G4</f>
        <v>CC-205 Gerencia</v>
      </c>
      <c r="I517" s="33" t="str">
        <f>"ReteIVA 15% sobre IVA factura "&amp;Gastos_Administrativos!A4</f>
        <v>ReteIVA 15% sobre IVA factura GA-2002</v>
      </c>
      <c r="J517" s="35">
        <f>0</f>
        <v>0</v>
      </c>
      <c r="K517" s="35">
        <f ca="1">Gastos_Administrativos!O4</f>
        <v>22050</v>
      </c>
      <c r="L517" s="36" t="str">
        <f>Gastos_Administrativos!A4</f>
        <v>GA-2002</v>
      </c>
    </row>
    <row r="518" spans="1:12" x14ac:dyDescent="0.35">
      <c r="A518" s="32" t="str">
        <f>"CE-GA-"&amp;TEXT(5002,"0000")</f>
        <v>CE-GA-5002</v>
      </c>
      <c r="B518" s="33" t="str">
        <f>"Causación Gasto"</f>
        <v>Causación Gasto</v>
      </c>
      <c r="C518" s="34">
        <f ca="1">Gastos_Administrativos!B4</f>
        <v>46058</v>
      </c>
      <c r="D518" s="73" t="str">
        <f>"236805"</f>
        <v>236805</v>
      </c>
      <c r="E518" s="33" t="str">
        <f>"Retención ICA - Medellín 11.04‰"</f>
        <v>Retención ICA - Medellín 11.04‰</v>
      </c>
      <c r="F518" s="33" t="str">
        <f ca="1">Gastos_Administrativos!D4</f>
        <v>Distribuidora Café Aburrá Ltda.</v>
      </c>
      <c r="G518" s="33" t="str">
        <f ca="1">Gastos_Administrativos!E4</f>
        <v>901890123-7</v>
      </c>
      <c r="H518" s="33" t="str">
        <f ca="1">"CC-2"&amp;TEXT(MATCH(Gastos_Administrativos!G4,{"Administración";"Ventas";"Bodega";"Logística";"Gerencia"},0),"00")&amp;" "&amp;Gastos_Administrativos!G4</f>
        <v>CC-205 Gerencia</v>
      </c>
      <c r="I518" s="33" t="str">
        <f>"ReteICA Medellín sobre gasto "&amp;Gastos_Administrativos!A4</f>
        <v>ReteICA Medellín sobre gasto GA-2002</v>
      </c>
      <c r="J518" s="35">
        <f>0</f>
        <v>0</v>
      </c>
      <c r="K518" s="35">
        <f ca="1">Gastos_Administrativos!Q4</f>
        <v>8542</v>
      </c>
      <c r="L518" s="36" t="str">
        <f>Gastos_Administrativos!A4</f>
        <v>GA-2002</v>
      </c>
    </row>
    <row r="519" spans="1:12" x14ac:dyDescent="0.35">
      <c r="A519" s="32" t="str">
        <f>"CE-GA-"&amp;TEXT(5002,"0000")</f>
        <v>CE-GA-5002</v>
      </c>
      <c r="B519" s="33" t="str">
        <f>"Causación Gasto"</f>
        <v>Causación Gasto</v>
      </c>
      <c r="C519" s="34">
        <f ca="1">Gastos_Administrativos!B4</f>
        <v>46058</v>
      </c>
      <c r="D519" s="73" t="str">
        <f>"233525"</f>
        <v>233525</v>
      </c>
      <c r="E519" s="33" t="str">
        <f>"Costos y gastos por pagar"</f>
        <v>Costos y gastos por pagar</v>
      </c>
      <c r="F519" s="33" t="str">
        <f ca="1">Gastos_Administrativos!D4</f>
        <v>Distribuidora Café Aburrá Ltda.</v>
      </c>
      <c r="G519" s="33" t="str">
        <f ca="1">Gastos_Administrativos!E4</f>
        <v>901890123-7</v>
      </c>
      <c r="H519" s="33" t="str">
        <f ca="1">"CC-2"&amp;TEXT(MATCH(Gastos_Administrativos!G4,{"Administración";"Ventas";"Bodega";"Logística";"Gerencia"},0),"00")&amp;" "&amp;Gastos_Administrativos!G4</f>
        <v>CC-205 Gerencia</v>
      </c>
      <c r="I519" s="33" t="str">
        <f ca="1">"CxP gasto - "&amp;Gastos_Administrativos!D4&amp;" - "&amp;Gastos_Administrativos!A4</f>
        <v>CxP gasto - Distribuidora Café Aburrá Ltda. - GA-2002</v>
      </c>
      <c r="J519" s="35">
        <f>0</f>
        <v>0</v>
      </c>
      <c r="K519" s="35">
        <f ca="1">Gastos_Administrativos!R4</f>
        <v>859163</v>
      </c>
      <c r="L519" s="36" t="str">
        <f>Gastos_Administrativos!A4</f>
        <v>GA-2002</v>
      </c>
    </row>
    <row r="520" spans="1:12" x14ac:dyDescent="0.35">
      <c r="A520" s="37" t="str">
        <f>"CE-GA-"&amp;TEXT(5003,"0000")</f>
        <v>CE-GA-5003</v>
      </c>
      <c r="B520" s="38" t="str">
        <f>"Causación Gasto"</f>
        <v>Causación Gasto</v>
      </c>
      <c r="C520" s="39">
        <f ca="1">Gastos_Administrativos!B5</f>
        <v>46098</v>
      </c>
      <c r="D520" s="74" t="str">
        <f ca="1">CHOOSE(MATCH(Gastos_Administrativos!F5,{"Arrendamientos";"Servicios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513550</v>
      </c>
      <c r="E520" s="38" t="str">
        <f ca="1">CHOOSE(MATCH(Gastos_Administrativos!F5,{"Arrendamientos";"Servicios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Combustibles, peajes y transporte</v>
      </c>
      <c r="F520" s="38" t="str">
        <f ca="1">Gastos_Administrativos!D5</f>
        <v>EPM - Empresas Públicas de Medellín</v>
      </c>
      <c r="G520" s="38" t="str">
        <f ca="1">Gastos_Administrativos!E5</f>
        <v>890904996-1</v>
      </c>
      <c r="H520" s="38" t="str">
        <f ca="1">"CC-2"&amp;TEXT(MATCH(Gastos_Administrativos!G5,{"Administración";"Ventas";"Bodega";"Logística";"Gerencia"},0),"00")&amp;" "&amp;Gastos_Administrativos!G5</f>
        <v>CC-205 Gerencia</v>
      </c>
      <c r="I520" s="38" t="str">
        <f ca="1">"Causación gasto - "&amp;Gastos_Administrativos!C5&amp;" - "&amp;Gastos_Administrativos!A5</f>
        <v>Causación gasto - Peajes y parqueaderos - GA-2003</v>
      </c>
      <c r="J520" s="40">
        <f ca="1">Gastos_Administrativos!H5</f>
        <v>4880000</v>
      </c>
      <c r="K520" s="40">
        <f>0</f>
        <v>0</v>
      </c>
      <c r="L520" s="41" t="str">
        <f>Gastos_Administrativos!A5</f>
        <v>GA-2003</v>
      </c>
    </row>
    <row r="521" spans="1:12" x14ac:dyDescent="0.35">
      <c r="A521" s="37" t="str">
        <f>"CE-GA-"&amp;TEXT(5003,"0000")</f>
        <v>CE-GA-5003</v>
      </c>
      <c r="B521" s="38" t="str">
        <f>"Causación Gasto"</f>
        <v>Causación Gasto</v>
      </c>
      <c r="C521" s="39">
        <f ca="1">Gastos_Administrativos!B5</f>
        <v>46098</v>
      </c>
      <c r="D521" s="74" t="str">
        <f>"240810"</f>
        <v>240810</v>
      </c>
      <c r="E521" s="38" t="str">
        <f>"IVA descontable - servicios/compras"</f>
        <v>IVA descontable - servicios/compras</v>
      </c>
      <c r="F521" s="38" t="str">
        <f ca="1">Gastos_Administrativos!D5</f>
        <v>EPM - Empresas Públicas de Medellín</v>
      </c>
      <c r="G521" s="38" t="str">
        <f ca="1">Gastos_Administrativos!E5</f>
        <v>890904996-1</v>
      </c>
      <c r="H521" s="38" t="str">
        <f ca="1">"CC-2"&amp;TEXT(MATCH(Gastos_Administrativos!G5,{"Administración";"Ventas";"Bodega";"Logística";"Gerencia"},0),"00")&amp;" "&amp;Gastos_Administrativos!G5</f>
        <v>CC-205 Gerencia</v>
      </c>
      <c r="I521" s="38" t="str">
        <f>"IVA descontable factura "&amp;Gastos_Administrativos!A5</f>
        <v>IVA descontable factura GA-2003</v>
      </c>
      <c r="J521" s="40">
        <f ca="1">Gastos_Administrativos!J5</f>
        <v>927200</v>
      </c>
      <c r="K521" s="40">
        <f>0</f>
        <v>0</v>
      </c>
      <c r="L521" s="41" t="str">
        <f>Gastos_Administrativos!A5</f>
        <v>GA-2003</v>
      </c>
    </row>
    <row r="522" spans="1:12" x14ac:dyDescent="0.35">
      <c r="A522" s="37" t="str">
        <f>"CE-GA-"&amp;TEXT(5003,"0000")</f>
        <v>CE-GA-5003</v>
      </c>
      <c r="B522" s="38" t="str">
        <f>"Causación Gasto"</f>
        <v>Causación Gasto</v>
      </c>
      <c r="C522" s="39">
        <f ca="1">Gastos_Administrativos!B5</f>
        <v>46098</v>
      </c>
      <c r="D522" s="74" t="str">
        <f ca="1">IF(Gastos_Administrativos!L5=0,"236540",CHOOSE(MATCH(Gastos_Administrativos!F5,{"Arrendamientos";"Servicios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522" s="38" t="str">
        <f ca="1">"ReteFuente "&amp;TEXT(Gastos_Administrativos!L5,"0.00%")&amp;" - "&amp;Gastos_Administrativos!F5</f>
        <v>ReteFuente 000% - Transporte</v>
      </c>
      <c r="F522" s="38" t="str">
        <f ca="1">Gastos_Administrativos!D5</f>
        <v>EPM - Empresas Públicas de Medellín</v>
      </c>
      <c r="G522" s="38" t="str">
        <f ca="1">Gastos_Administrativos!E5</f>
        <v>890904996-1</v>
      </c>
      <c r="H522" s="38" t="str">
        <f ca="1">"CC-2"&amp;TEXT(MATCH(Gastos_Administrativos!G5,{"Administración";"Ventas";"Bodega";"Logística";"Gerencia"},0),"00")&amp;" "&amp;Gastos_Administrativos!G5</f>
        <v>CC-205 Gerencia</v>
      </c>
      <c r="I522" s="38" t="str">
        <f ca="1">"ReteFuente "&amp;Gastos_Administrativos!C5&amp;" - "&amp;Gastos_Administrativos!A5</f>
        <v>ReteFuente Peajes y parqueaderos - GA-2003</v>
      </c>
      <c r="J522" s="40">
        <f>0</f>
        <v>0</v>
      </c>
      <c r="K522" s="40">
        <f ca="1">Gastos_Administrativos!M5</f>
        <v>0</v>
      </c>
      <c r="L522" s="41" t="str">
        <f>Gastos_Administrativos!A5</f>
        <v>GA-2003</v>
      </c>
    </row>
    <row r="523" spans="1:12" x14ac:dyDescent="0.35">
      <c r="A523" s="37" t="str">
        <f>"CE-GA-"&amp;TEXT(5003,"0000")</f>
        <v>CE-GA-5003</v>
      </c>
      <c r="B523" s="38" t="str">
        <f>"Causación Gasto"</f>
        <v>Causación Gasto</v>
      </c>
      <c r="C523" s="39">
        <f ca="1">Gastos_Administrativos!B5</f>
        <v>46098</v>
      </c>
      <c r="D523" s="74" t="str">
        <f>"236701"</f>
        <v>236701</v>
      </c>
      <c r="E523" s="38" t="str">
        <f>"Retención IVA - Régimen común 15%"</f>
        <v>Retención IVA - Régimen común 15%</v>
      </c>
      <c r="F523" s="38" t="str">
        <f ca="1">Gastos_Administrativos!D5</f>
        <v>EPM - Empresas Públicas de Medellín</v>
      </c>
      <c r="G523" s="38" t="str">
        <f ca="1">Gastos_Administrativos!E5</f>
        <v>890904996-1</v>
      </c>
      <c r="H523" s="38" t="str">
        <f ca="1">"CC-2"&amp;TEXT(MATCH(Gastos_Administrativos!G5,{"Administración";"Ventas";"Bodega";"Logística";"Gerencia"},0),"00")&amp;" "&amp;Gastos_Administrativos!G5</f>
        <v>CC-205 Gerencia</v>
      </c>
      <c r="I523" s="38" t="str">
        <f>"ReteIVA 15% sobre IVA factura "&amp;Gastos_Administrativos!A5</f>
        <v>ReteIVA 15% sobre IVA factura GA-2003</v>
      </c>
      <c r="J523" s="40">
        <f>0</f>
        <v>0</v>
      </c>
      <c r="K523" s="40">
        <f ca="1">Gastos_Administrativos!O5</f>
        <v>139080</v>
      </c>
      <c r="L523" s="41" t="str">
        <f>Gastos_Administrativos!A5</f>
        <v>GA-2003</v>
      </c>
    </row>
    <row r="524" spans="1:12" x14ac:dyDescent="0.35">
      <c r="A524" s="37" t="str">
        <f>"CE-GA-"&amp;TEXT(5003,"0000")</f>
        <v>CE-GA-5003</v>
      </c>
      <c r="B524" s="38" t="str">
        <f>"Causación Gasto"</f>
        <v>Causación Gasto</v>
      </c>
      <c r="C524" s="39">
        <f ca="1">Gastos_Administrativos!B5</f>
        <v>46098</v>
      </c>
      <c r="D524" s="74" t="str">
        <f>"236805"</f>
        <v>236805</v>
      </c>
      <c r="E524" s="38" t="str">
        <f>"Retención ICA - Medellín 11.04‰"</f>
        <v>Retención ICA - Medellín 11.04‰</v>
      </c>
      <c r="F524" s="38" t="str">
        <f ca="1">Gastos_Administrativos!D5</f>
        <v>EPM - Empresas Públicas de Medellín</v>
      </c>
      <c r="G524" s="38" t="str">
        <f ca="1">Gastos_Administrativos!E5</f>
        <v>890904996-1</v>
      </c>
      <c r="H524" s="38" t="str">
        <f ca="1">"CC-2"&amp;TEXT(MATCH(Gastos_Administrativos!G5,{"Administración";"Ventas";"Bodega";"Logística";"Gerencia"},0),"00")&amp;" "&amp;Gastos_Administrativos!G5</f>
        <v>CC-205 Gerencia</v>
      </c>
      <c r="I524" s="38" t="str">
        <f>"ReteICA Medellín sobre gasto "&amp;Gastos_Administrativos!A5</f>
        <v>ReteICA Medellín sobre gasto GA-2003</v>
      </c>
      <c r="J524" s="40">
        <f>0</f>
        <v>0</v>
      </c>
      <c r="K524" s="40">
        <f ca="1">Gastos_Administrativos!Q5</f>
        <v>53875</v>
      </c>
      <c r="L524" s="41" t="str">
        <f>Gastos_Administrativos!A5</f>
        <v>GA-2003</v>
      </c>
    </row>
    <row r="525" spans="1:12" x14ac:dyDescent="0.35">
      <c r="A525" s="37" t="str">
        <f>"CE-GA-"&amp;TEXT(5003,"0000")</f>
        <v>CE-GA-5003</v>
      </c>
      <c r="B525" s="38" t="str">
        <f>"Causación Gasto"</f>
        <v>Causación Gasto</v>
      </c>
      <c r="C525" s="39">
        <f ca="1">Gastos_Administrativos!B5</f>
        <v>46098</v>
      </c>
      <c r="D525" s="74" t="str">
        <f>"233525"</f>
        <v>233525</v>
      </c>
      <c r="E525" s="38" t="str">
        <f>"Costos y gastos por pagar"</f>
        <v>Costos y gastos por pagar</v>
      </c>
      <c r="F525" s="38" t="str">
        <f ca="1">Gastos_Administrativos!D5</f>
        <v>EPM - Empresas Públicas de Medellín</v>
      </c>
      <c r="G525" s="38" t="str">
        <f ca="1">Gastos_Administrativos!E5</f>
        <v>890904996-1</v>
      </c>
      <c r="H525" s="38" t="str">
        <f ca="1">"CC-2"&amp;TEXT(MATCH(Gastos_Administrativos!G5,{"Administración";"Ventas";"Bodega";"Logística";"Gerencia"},0),"00")&amp;" "&amp;Gastos_Administrativos!G5</f>
        <v>CC-205 Gerencia</v>
      </c>
      <c r="I525" s="38" t="str">
        <f ca="1">"CxP gasto - "&amp;Gastos_Administrativos!D5&amp;" - "&amp;Gastos_Administrativos!A5</f>
        <v>CxP gasto - EPM - Empresas Públicas de Medellín - GA-2003</v>
      </c>
      <c r="J525" s="40">
        <f>0</f>
        <v>0</v>
      </c>
      <c r="K525" s="40">
        <f ca="1">Gastos_Administrativos!R5</f>
        <v>5614245</v>
      </c>
      <c r="L525" s="41" t="str">
        <f>Gastos_Administrativos!A5</f>
        <v>GA-2003</v>
      </c>
    </row>
    <row r="526" spans="1:12" x14ac:dyDescent="0.35">
      <c r="A526" s="32" t="str">
        <f>"CE-GA-"&amp;TEXT(5004,"0000")</f>
        <v>CE-GA-5004</v>
      </c>
      <c r="B526" s="33" t="str">
        <f>"Causación Gasto"</f>
        <v>Causación Gasto</v>
      </c>
      <c r="C526" s="34">
        <f ca="1">Gastos_Administrativos!B6</f>
        <v>46114</v>
      </c>
      <c r="D526" s="73" t="str">
        <f ca="1">CHOOSE(MATCH(Gastos_Administrativos!F6,{"Arrendamientos";"Servicios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514515</v>
      </c>
      <c r="E526" s="33" t="str">
        <f ca="1">CHOOSE(MATCH(Gastos_Administrativos!F6,{"Arrendamientos";"Servicios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Sistematización</v>
      </c>
      <c r="F526" s="33" t="str">
        <f ca="1">Gastos_Administrativos!D6</f>
        <v>TecnoSoporte Paisa S.A.S.</v>
      </c>
      <c r="G526" s="33" t="str">
        <f ca="1">Gastos_Administrativos!E6</f>
        <v>901456789-6</v>
      </c>
      <c r="H526" s="33" t="str">
        <f ca="1">"CC-2"&amp;TEXT(MATCH(Gastos_Administrativos!G6,{"Administración";"Ventas";"Bodega";"Logística";"Gerencia"},0),"00")&amp;" "&amp;Gastos_Administrativos!G6</f>
        <v>CC-205 Gerencia</v>
      </c>
      <c r="I526" s="33" t="str">
        <f ca="1">"Causación gasto - "&amp;Gastos_Administrativos!C6&amp;" - "&amp;Gastos_Administrativos!A6</f>
        <v>Causación gasto - Plataforma facturación electrónica - GA-2004</v>
      </c>
      <c r="J526" s="35">
        <f ca="1">Gastos_Administrativos!H6</f>
        <v>7766000</v>
      </c>
      <c r="K526" s="35">
        <f>0</f>
        <v>0</v>
      </c>
      <c r="L526" s="36" t="str">
        <f>Gastos_Administrativos!A6</f>
        <v>GA-2004</v>
      </c>
    </row>
    <row r="527" spans="1:12" x14ac:dyDescent="0.35">
      <c r="A527" s="32" t="str">
        <f>"CE-GA-"&amp;TEXT(5004,"0000")</f>
        <v>CE-GA-5004</v>
      </c>
      <c r="B527" s="33" t="str">
        <f>"Causación Gasto"</f>
        <v>Causación Gasto</v>
      </c>
      <c r="C527" s="34">
        <f ca="1">Gastos_Administrativos!B6</f>
        <v>46114</v>
      </c>
      <c r="D527" s="73" t="str">
        <f>"240810"</f>
        <v>240810</v>
      </c>
      <c r="E527" s="33" t="str">
        <f>"IVA descontable - servicios/compras"</f>
        <v>IVA descontable - servicios/compras</v>
      </c>
      <c r="F527" s="33" t="str">
        <f ca="1">Gastos_Administrativos!D6</f>
        <v>TecnoSoporte Paisa S.A.S.</v>
      </c>
      <c r="G527" s="33" t="str">
        <f ca="1">Gastos_Administrativos!E6</f>
        <v>901456789-6</v>
      </c>
      <c r="H527" s="33" t="str">
        <f ca="1">"CC-2"&amp;TEXT(MATCH(Gastos_Administrativos!G6,{"Administración";"Ventas";"Bodega";"Logística";"Gerencia"},0),"00")&amp;" "&amp;Gastos_Administrativos!G6</f>
        <v>CC-205 Gerencia</v>
      </c>
      <c r="I527" s="33" t="str">
        <f>"IVA descontable factura "&amp;Gastos_Administrativos!A6</f>
        <v>IVA descontable factura GA-2004</v>
      </c>
      <c r="J527" s="35">
        <f ca="1">Gastos_Administrativos!J6</f>
        <v>1475540</v>
      </c>
      <c r="K527" s="35">
        <f>0</f>
        <v>0</v>
      </c>
      <c r="L527" s="36" t="str">
        <f>Gastos_Administrativos!A6</f>
        <v>GA-2004</v>
      </c>
    </row>
    <row r="528" spans="1:12" x14ac:dyDescent="0.35">
      <c r="A528" s="32" t="str">
        <f>"CE-GA-"&amp;TEXT(5004,"0000")</f>
        <v>CE-GA-5004</v>
      </c>
      <c r="B528" s="33" t="str">
        <f>"Causación Gasto"</f>
        <v>Causación Gasto</v>
      </c>
      <c r="C528" s="34">
        <f ca="1">Gastos_Administrativos!B6</f>
        <v>46114</v>
      </c>
      <c r="D528" s="73" t="str">
        <f ca="1">IF(Gastos_Administrativos!L6=0,"236540",CHOOSE(MATCH(Gastos_Administrativos!F6,{"Arrendamientos";"Servicios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236525</v>
      </c>
      <c r="E528" s="33" t="str">
        <f ca="1">"ReteFuente "&amp;TEXT(Gastos_Administrativos!L6,"0.00%")&amp;" - "&amp;Gastos_Administrativos!F6</f>
        <v>ReteFuente 004% - Tecnología</v>
      </c>
      <c r="F528" s="33" t="str">
        <f ca="1">Gastos_Administrativos!D6</f>
        <v>TecnoSoporte Paisa S.A.S.</v>
      </c>
      <c r="G528" s="33" t="str">
        <f ca="1">Gastos_Administrativos!E6</f>
        <v>901456789-6</v>
      </c>
      <c r="H528" s="33" t="str">
        <f ca="1">"CC-2"&amp;TEXT(MATCH(Gastos_Administrativos!G6,{"Administración";"Ventas";"Bodega";"Logística";"Gerencia"},0),"00")&amp;" "&amp;Gastos_Administrativos!G6</f>
        <v>CC-205 Gerencia</v>
      </c>
      <c r="I528" s="33" t="str">
        <f ca="1">"ReteFuente "&amp;Gastos_Administrativos!C6&amp;" - "&amp;Gastos_Administrativos!A6</f>
        <v>ReteFuente Plataforma facturación electrónica - GA-2004</v>
      </c>
      <c r="J528" s="35">
        <f>0</f>
        <v>0</v>
      </c>
      <c r="K528" s="35">
        <f ca="1">Gastos_Administrativos!M6</f>
        <v>271810</v>
      </c>
      <c r="L528" s="36" t="str">
        <f>Gastos_Administrativos!A6</f>
        <v>GA-2004</v>
      </c>
    </row>
    <row r="529" spans="1:12" x14ac:dyDescent="0.35">
      <c r="A529" s="32" t="str">
        <f>"CE-GA-"&amp;TEXT(5004,"0000")</f>
        <v>CE-GA-5004</v>
      </c>
      <c r="B529" s="33" t="str">
        <f>"Causación Gasto"</f>
        <v>Causación Gasto</v>
      </c>
      <c r="C529" s="34">
        <f ca="1">Gastos_Administrativos!B6</f>
        <v>46114</v>
      </c>
      <c r="D529" s="73" t="str">
        <f>"236701"</f>
        <v>236701</v>
      </c>
      <c r="E529" s="33" t="str">
        <f>"Retención IVA - Régimen común 15%"</f>
        <v>Retención IVA - Régimen común 15%</v>
      </c>
      <c r="F529" s="33" t="str">
        <f ca="1">Gastos_Administrativos!D6</f>
        <v>TecnoSoporte Paisa S.A.S.</v>
      </c>
      <c r="G529" s="33" t="str">
        <f ca="1">Gastos_Administrativos!E6</f>
        <v>901456789-6</v>
      </c>
      <c r="H529" s="33" t="str">
        <f ca="1">"CC-2"&amp;TEXT(MATCH(Gastos_Administrativos!G6,{"Administración";"Ventas";"Bodega";"Logística";"Gerencia"},0),"00")&amp;" "&amp;Gastos_Administrativos!G6</f>
        <v>CC-205 Gerencia</v>
      </c>
      <c r="I529" s="33" t="str">
        <f>"ReteIVA 15% sobre IVA factura "&amp;Gastos_Administrativos!A6</f>
        <v>ReteIVA 15% sobre IVA factura GA-2004</v>
      </c>
      <c r="J529" s="35">
        <f>0</f>
        <v>0</v>
      </c>
      <c r="K529" s="35">
        <f ca="1">Gastos_Administrativos!O6</f>
        <v>221331</v>
      </c>
      <c r="L529" s="36" t="str">
        <f>Gastos_Administrativos!A6</f>
        <v>GA-2004</v>
      </c>
    </row>
    <row r="530" spans="1:12" x14ac:dyDescent="0.35">
      <c r="A530" s="32" t="str">
        <f>"CE-GA-"&amp;TEXT(5004,"0000")</f>
        <v>CE-GA-5004</v>
      </c>
      <c r="B530" s="33" t="str">
        <f>"Causación Gasto"</f>
        <v>Causación Gasto</v>
      </c>
      <c r="C530" s="34">
        <f ca="1">Gastos_Administrativos!B6</f>
        <v>46114</v>
      </c>
      <c r="D530" s="73" t="str">
        <f>"236805"</f>
        <v>236805</v>
      </c>
      <c r="E530" s="33" t="str">
        <f>"Retención ICA - Medellín 11.04‰"</f>
        <v>Retención ICA - Medellín 11.04‰</v>
      </c>
      <c r="F530" s="33" t="str">
        <f ca="1">Gastos_Administrativos!D6</f>
        <v>TecnoSoporte Paisa S.A.S.</v>
      </c>
      <c r="G530" s="33" t="str">
        <f ca="1">Gastos_Administrativos!E6</f>
        <v>901456789-6</v>
      </c>
      <c r="H530" s="33" t="str">
        <f ca="1">"CC-2"&amp;TEXT(MATCH(Gastos_Administrativos!G6,{"Administración";"Ventas";"Bodega";"Logística";"Gerencia"},0),"00")&amp;" "&amp;Gastos_Administrativos!G6</f>
        <v>CC-205 Gerencia</v>
      </c>
      <c r="I530" s="33" t="str">
        <f>"ReteICA Medellín sobre gasto "&amp;Gastos_Administrativos!A6</f>
        <v>ReteICA Medellín sobre gasto GA-2004</v>
      </c>
      <c r="J530" s="35">
        <f>0</f>
        <v>0</v>
      </c>
      <c r="K530" s="35">
        <f ca="1">Gastos_Administrativos!Q6</f>
        <v>85737</v>
      </c>
      <c r="L530" s="36" t="str">
        <f>Gastos_Administrativos!A6</f>
        <v>GA-2004</v>
      </c>
    </row>
    <row r="531" spans="1:12" x14ac:dyDescent="0.35">
      <c r="A531" s="32" t="str">
        <f>"CE-GA-"&amp;TEXT(5004,"0000")</f>
        <v>CE-GA-5004</v>
      </c>
      <c r="B531" s="33" t="str">
        <f>"Causación Gasto"</f>
        <v>Causación Gasto</v>
      </c>
      <c r="C531" s="34">
        <f ca="1">Gastos_Administrativos!B6</f>
        <v>46114</v>
      </c>
      <c r="D531" s="73" t="str">
        <f>"233525"</f>
        <v>233525</v>
      </c>
      <c r="E531" s="33" t="str">
        <f>"Costos y gastos por pagar"</f>
        <v>Costos y gastos por pagar</v>
      </c>
      <c r="F531" s="33" t="str">
        <f ca="1">Gastos_Administrativos!D6</f>
        <v>TecnoSoporte Paisa S.A.S.</v>
      </c>
      <c r="G531" s="33" t="str">
        <f ca="1">Gastos_Administrativos!E6</f>
        <v>901456789-6</v>
      </c>
      <c r="H531" s="33" t="str">
        <f ca="1">"CC-2"&amp;TEXT(MATCH(Gastos_Administrativos!G6,{"Administración";"Ventas";"Bodega";"Logística";"Gerencia"},0),"00")&amp;" "&amp;Gastos_Administrativos!G6</f>
        <v>CC-205 Gerencia</v>
      </c>
      <c r="I531" s="33" t="str">
        <f ca="1">"CxP gasto - "&amp;Gastos_Administrativos!D6&amp;" - "&amp;Gastos_Administrativos!A6</f>
        <v>CxP gasto - TecnoSoporte Paisa S.A.S. - GA-2004</v>
      </c>
      <c r="J531" s="35">
        <f>0</f>
        <v>0</v>
      </c>
      <c r="K531" s="35">
        <f ca="1">Gastos_Administrativos!R6</f>
        <v>8662662</v>
      </c>
      <c r="L531" s="36" t="str">
        <f>Gastos_Administrativos!A6</f>
        <v>GA-2004</v>
      </c>
    </row>
    <row r="532" spans="1:12" x14ac:dyDescent="0.35">
      <c r="A532" s="37" t="str">
        <f>"CE-GA-"&amp;TEXT(5005,"0000")</f>
        <v>CE-GA-5005</v>
      </c>
      <c r="B532" s="38" t="str">
        <f>"Causación Gasto"</f>
        <v>Causación Gasto</v>
      </c>
      <c r="C532" s="39">
        <f ca="1">Gastos_Administrativos!B7</f>
        <v>46138</v>
      </c>
      <c r="D532" s="74" t="str">
        <f ca="1">CHOOSE(MATCH(Gastos_Administrativos!F7,{"Arrendamientos";"Servicios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513025</v>
      </c>
      <c r="E532" s="38" t="str">
        <f ca="1">CHOOSE(MATCH(Gastos_Administrativos!F7,{"Arrendamientos";"Servicios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Seguros</v>
      </c>
      <c r="F532" s="38" t="str">
        <f ca="1">Gastos_Administrativos!D7</f>
        <v>Fumigaciones Sanitarias Envigado</v>
      </c>
      <c r="G532" s="38" t="str">
        <f ca="1">Gastos_Administrativos!E7</f>
        <v>901901234-8</v>
      </c>
      <c r="H532" s="38" t="str">
        <f ca="1">"CC-2"&amp;TEXT(MATCH(Gastos_Administrativos!G7,{"Administración";"Ventas";"Bodega";"Logística";"Gerencia"},0),"00")&amp;" "&amp;Gastos_Administrativos!G7</f>
        <v>CC-205 Gerencia</v>
      </c>
      <c r="I532" s="38" t="str">
        <f ca="1">"Causación gasto - "&amp;Gastos_Administrativos!C7&amp;" - "&amp;Gastos_Administrativos!A7</f>
        <v>Causación gasto - Pólizas de seguros comerciales - GA-2005</v>
      </c>
      <c r="J532" s="40">
        <f ca="1">Gastos_Administrativos!H7</f>
        <v>4996300</v>
      </c>
      <c r="K532" s="40">
        <f>0</f>
        <v>0</v>
      </c>
      <c r="L532" s="41" t="str">
        <f>Gastos_Administrativos!A7</f>
        <v>GA-2005</v>
      </c>
    </row>
    <row r="533" spans="1:12" x14ac:dyDescent="0.35">
      <c r="A533" s="37" t="str">
        <f>"CE-GA-"&amp;TEXT(5005,"0000")</f>
        <v>CE-GA-5005</v>
      </c>
      <c r="B533" s="38" t="str">
        <f>"Causación Gasto"</f>
        <v>Causación Gasto</v>
      </c>
      <c r="C533" s="39">
        <f ca="1">Gastos_Administrativos!B7</f>
        <v>46138</v>
      </c>
      <c r="D533" s="74" t="str">
        <f>"240810"</f>
        <v>240810</v>
      </c>
      <c r="E533" s="38" t="str">
        <f>"IVA descontable - servicios/compras"</f>
        <v>IVA descontable - servicios/compras</v>
      </c>
      <c r="F533" s="38" t="str">
        <f ca="1">Gastos_Administrativos!D7</f>
        <v>Fumigaciones Sanitarias Envigado</v>
      </c>
      <c r="G533" s="38" t="str">
        <f ca="1">Gastos_Administrativos!E7</f>
        <v>901901234-8</v>
      </c>
      <c r="H533" s="38" t="str">
        <f ca="1">"CC-2"&amp;TEXT(MATCH(Gastos_Administrativos!G7,{"Administración";"Ventas";"Bodega";"Logística";"Gerencia"},0),"00")&amp;" "&amp;Gastos_Administrativos!G7</f>
        <v>CC-205 Gerencia</v>
      </c>
      <c r="I533" s="38" t="str">
        <f>"IVA descontable factura "&amp;Gastos_Administrativos!A7</f>
        <v>IVA descontable factura GA-2005</v>
      </c>
      <c r="J533" s="40">
        <f ca="1">Gastos_Administrativos!J7</f>
        <v>0</v>
      </c>
      <c r="K533" s="40">
        <f>0</f>
        <v>0</v>
      </c>
      <c r="L533" s="41" t="str">
        <f>Gastos_Administrativos!A7</f>
        <v>GA-2005</v>
      </c>
    </row>
    <row r="534" spans="1:12" x14ac:dyDescent="0.35">
      <c r="A534" s="37" t="str">
        <f>"CE-GA-"&amp;TEXT(5005,"0000")</f>
        <v>CE-GA-5005</v>
      </c>
      <c r="B534" s="38" t="str">
        <f>"Causación Gasto"</f>
        <v>Causación Gasto</v>
      </c>
      <c r="C534" s="39">
        <f ca="1">Gastos_Administrativos!B7</f>
        <v>46138</v>
      </c>
      <c r="D534" s="74" t="str">
        <f ca="1">IF(Gastos_Administrativos!L7=0,"236540",CHOOSE(MATCH(Gastos_Administrativos!F7,{"Arrendamientos";"Servicios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236535</v>
      </c>
      <c r="E534" s="38" t="str">
        <f ca="1">"ReteFuente "&amp;TEXT(Gastos_Administrativos!L7,"0.00%")&amp;" - "&amp;Gastos_Administrativos!F7</f>
        <v>ReteFuente 002% - Seguros</v>
      </c>
      <c r="F534" s="38" t="str">
        <f ca="1">Gastos_Administrativos!D7</f>
        <v>Fumigaciones Sanitarias Envigado</v>
      </c>
      <c r="G534" s="38" t="str">
        <f ca="1">Gastos_Administrativos!E7</f>
        <v>901901234-8</v>
      </c>
      <c r="H534" s="38" t="str">
        <f ca="1">"CC-2"&amp;TEXT(MATCH(Gastos_Administrativos!G7,{"Administración";"Ventas";"Bodega";"Logística";"Gerencia"},0),"00")&amp;" "&amp;Gastos_Administrativos!G7</f>
        <v>CC-205 Gerencia</v>
      </c>
      <c r="I534" s="38" t="str">
        <f ca="1">"ReteFuente "&amp;Gastos_Administrativos!C7&amp;" - "&amp;Gastos_Administrativos!A7</f>
        <v>ReteFuente Pólizas de seguros comerciales - GA-2005</v>
      </c>
      <c r="J534" s="40">
        <f>0</f>
        <v>0</v>
      </c>
      <c r="K534" s="40">
        <f ca="1">Gastos_Administrativos!M7</f>
        <v>119911</v>
      </c>
      <c r="L534" s="41" t="str">
        <f>Gastos_Administrativos!A7</f>
        <v>GA-2005</v>
      </c>
    </row>
    <row r="535" spans="1:12" x14ac:dyDescent="0.35">
      <c r="A535" s="37" t="str">
        <f>"CE-GA-"&amp;TEXT(5005,"0000")</f>
        <v>CE-GA-5005</v>
      </c>
      <c r="B535" s="38" t="str">
        <f>"Causación Gasto"</f>
        <v>Causación Gasto</v>
      </c>
      <c r="C535" s="39">
        <f ca="1">Gastos_Administrativos!B7</f>
        <v>46138</v>
      </c>
      <c r="D535" s="74" t="str">
        <f>"236701"</f>
        <v>236701</v>
      </c>
      <c r="E535" s="38" t="str">
        <f>"Retención IVA - Régimen común 15%"</f>
        <v>Retención IVA - Régimen común 15%</v>
      </c>
      <c r="F535" s="38" t="str">
        <f ca="1">Gastos_Administrativos!D7</f>
        <v>Fumigaciones Sanitarias Envigado</v>
      </c>
      <c r="G535" s="38" t="str">
        <f ca="1">Gastos_Administrativos!E7</f>
        <v>901901234-8</v>
      </c>
      <c r="H535" s="38" t="str">
        <f ca="1">"CC-2"&amp;TEXT(MATCH(Gastos_Administrativos!G7,{"Administración";"Ventas";"Bodega";"Logística";"Gerencia"},0),"00")&amp;" "&amp;Gastos_Administrativos!G7</f>
        <v>CC-205 Gerencia</v>
      </c>
      <c r="I535" s="38" t="str">
        <f>"ReteIVA 15% sobre IVA factura "&amp;Gastos_Administrativos!A7</f>
        <v>ReteIVA 15% sobre IVA factura GA-2005</v>
      </c>
      <c r="J535" s="40">
        <f>0</f>
        <v>0</v>
      </c>
      <c r="K535" s="40">
        <f ca="1">Gastos_Administrativos!O7</f>
        <v>0</v>
      </c>
      <c r="L535" s="41" t="str">
        <f>Gastos_Administrativos!A7</f>
        <v>GA-2005</v>
      </c>
    </row>
    <row r="536" spans="1:12" x14ac:dyDescent="0.35">
      <c r="A536" s="37" t="str">
        <f>"CE-GA-"&amp;TEXT(5005,"0000")</f>
        <v>CE-GA-5005</v>
      </c>
      <c r="B536" s="38" t="str">
        <f>"Causación Gasto"</f>
        <v>Causación Gasto</v>
      </c>
      <c r="C536" s="39">
        <f ca="1">Gastos_Administrativos!B7</f>
        <v>46138</v>
      </c>
      <c r="D536" s="74" t="str">
        <f>"236805"</f>
        <v>236805</v>
      </c>
      <c r="E536" s="38" t="str">
        <f>"Retención ICA - Medellín 11.04‰"</f>
        <v>Retención ICA - Medellín 11.04‰</v>
      </c>
      <c r="F536" s="38" t="str">
        <f ca="1">Gastos_Administrativos!D7</f>
        <v>Fumigaciones Sanitarias Envigado</v>
      </c>
      <c r="G536" s="38" t="str">
        <f ca="1">Gastos_Administrativos!E7</f>
        <v>901901234-8</v>
      </c>
      <c r="H536" s="38" t="str">
        <f ca="1">"CC-2"&amp;TEXT(MATCH(Gastos_Administrativos!G7,{"Administración";"Ventas";"Bodega";"Logística";"Gerencia"},0),"00")&amp;" "&amp;Gastos_Administrativos!G7</f>
        <v>CC-205 Gerencia</v>
      </c>
      <c r="I536" s="38" t="str">
        <f>"ReteICA Medellín sobre gasto "&amp;Gastos_Administrativos!A7</f>
        <v>ReteICA Medellín sobre gasto GA-2005</v>
      </c>
      <c r="J536" s="40">
        <f>0</f>
        <v>0</v>
      </c>
      <c r="K536" s="40">
        <f ca="1">Gastos_Administrativos!Q7</f>
        <v>55159</v>
      </c>
      <c r="L536" s="41" t="str">
        <f>Gastos_Administrativos!A7</f>
        <v>GA-2005</v>
      </c>
    </row>
    <row r="537" spans="1:12" x14ac:dyDescent="0.35">
      <c r="A537" s="37" t="str">
        <f>"CE-GA-"&amp;TEXT(5005,"0000")</f>
        <v>CE-GA-5005</v>
      </c>
      <c r="B537" s="38" t="str">
        <f>"Causación Gasto"</f>
        <v>Causación Gasto</v>
      </c>
      <c r="C537" s="39">
        <f ca="1">Gastos_Administrativos!B7</f>
        <v>46138</v>
      </c>
      <c r="D537" s="74" t="str">
        <f>"233525"</f>
        <v>233525</v>
      </c>
      <c r="E537" s="38" t="str">
        <f>"Costos y gastos por pagar"</f>
        <v>Costos y gastos por pagar</v>
      </c>
      <c r="F537" s="38" t="str">
        <f ca="1">Gastos_Administrativos!D7</f>
        <v>Fumigaciones Sanitarias Envigado</v>
      </c>
      <c r="G537" s="38" t="str">
        <f ca="1">Gastos_Administrativos!E7</f>
        <v>901901234-8</v>
      </c>
      <c r="H537" s="38" t="str">
        <f ca="1">"CC-2"&amp;TEXT(MATCH(Gastos_Administrativos!G7,{"Administración";"Ventas";"Bodega";"Logística";"Gerencia"},0),"00")&amp;" "&amp;Gastos_Administrativos!G7</f>
        <v>CC-205 Gerencia</v>
      </c>
      <c r="I537" s="38" t="str">
        <f ca="1">"CxP gasto - "&amp;Gastos_Administrativos!D7&amp;" - "&amp;Gastos_Administrativos!A7</f>
        <v>CxP gasto - Fumigaciones Sanitarias Envigado - GA-2005</v>
      </c>
      <c r="J537" s="40">
        <f>0</f>
        <v>0</v>
      </c>
      <c r="K537" s="40">
        <f ca="1">Gastos_Administrativos!R7</f>
        <v>4821230</v>
      </c>
      <c r="L537" s="41" t="str">
        <f>Gastos_Administrativos!A7</f>
        <v>GA-2005</v>
      </c>
    </row>
    <row r="538" spans="1:12" x14ac:dyDescent="0.35">
      <c r="A538" s="32" t="str">
        <f>"CE-GA-"&amp;TEXT(5006,"0000")</f>
        <v>CE-GA-5006</v>
      </c>
      <c r="B538" s="33" t="str">
        <f>"Causación Gasto"</f>
        <v>Causación Gasto</v>
      </c>
      <c r="C538" s="34">
        <f ca="1">Gastos_Administrativos!B8</f>
        <v>46125</v>
      </c>
      <c r="D538" s="73" t="str">
        <f ca="1">CHOOSE(MATCH(Gastos_Administrativos!F8,{"Arrendamientos";"Servicios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514515</v>
      </c>
      <c r="E538" s="33" t="str">
        <f ca="1">CHOOSE(MATCH(Gastos_Administrativos!F8,{"Arrendamientos";"Servicios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Sistematización</v>
      </c>
      <c r="F538" s="33" t="str">
        <f ca="1">Gastos_Administrativos!D8</f>
        <v>Inmobiliaria El Poblado S.A.S.</v>
      </c>
      <c r="G538" s="33" t="str">
        <f ca="1">Gastos_Administrativos!E8</f>
        <v>900456789-1</v>
      </c>
      <c r="H538" s="33" t="str">
        <f ca="1">"CC-2"&amp;TEXT(MATCH(Gastos_Administrativos!G8,{"Administración";"Ventas";"Bodega";"Logística";"Gerencia"},0),"00")&amp;" "&amp;Gastos_Administrativos!G8</f>
        <v>CC-205 Gerencia</v>
      </c>
      <c r="I538" s="33" t="str">
        <f ca="1">"Causación gasto - "&amp;Gastos_Administrativos!C8&amp;" - "&amp;Gastos_Administrativos!A8</f>
        <v>Causación gasto - Software contable - licencia mensual - GA-2006</v>
      </c>
      <c r="J538" s="35">
        <f ca="1">Gastos_Administrativos!H8</f>
        <v>806500</v>
      </c>
      <c r="K538" s="35">
        <f>0</f>
        <v>0</v>
      </c>
      <c r="L538" s="36" t="str">
        <f>Gastos_Administrativos!A8</f>
        <v>GA-2006</v>
      </c>
    </row>
    <row r="539" spans="1:12" x14ac:dyDescent="0.35">
      <c r="A539" s="32" t="str">
        <f>"CE-GA-"&amp;TEXT(5006,"0000")</f>
        <v>CE-GA-5006</v>
      </c>
      <c r="B539" s="33" t="str">
        <f>"Causación Gasto"</f>
        <v>Causación Gasto</v>
      </c>
      <c r="C539" s="34">
        <f ca="1">Gastos_Administrativos!B8</f>
        <v>46125</v>
      </c>
      <c r="D539" s="73" t="str">
        <f>"240810"</f>
        <v>240810</v>
      </c>
      <c r="E539" s="33" t="str">
        <f>"IVA descontable - servicios/compras"</f>
        <v>IVA descontable - servicios/compras</v>
      </c>
      <c r="F539" s="33" t="str">
        <f ca="1">Gastos_Administrativos!D8</f>
        <v>Inmobiliaria El Poblado S.A.S.</v>
      </c>
      <c r="G539" s="33" t="str">
        <f ca="1">Gastos_Administrativos!E8</f>
        <v>900456789-1</v>
      </c>
      <c r="H539" s="33" t="str">
        <f ca="1">"CC-2"&amp;TEXT(MATCH(Gastos_Administrativos!G8,{"Administración";"Ventas";"Bodega";"Logística";"Gerencia"},0),"00")&amp;" "&amp;Gastos_Administrativos!G8</f>
        <v>CC-205 Gerencia</v>
      </c>
      <c r="I539" s="33" t="str">
        <f>"IVA descontable factura "&amp;Gastos_Administrativos!A8</f>
        <v>IVA descontable factura GA-2006</v>
      </c>
      <c r="J539" s="35">
        <f ca="1">Gastos_Administrativos!J8</f>
        <v>153235</v>
      </c>
      <c r="K539" s="35">
        <f>0</f>
        <v>0</v>
      </c>
      <c r="L539" s="36" t="str">
        <f>Gastos_Administrativos!A8</f>
        <v>GA-2006</v>
      </c>
    </row>
    <row r="540" spans="1:12" x14ac:dyDescent="0.35">
      <c r="A540" s="32" t="str">
        <f>"CE-GA-"&amp;TEXT(5006,"0000")</f>
        <v>CE-GA-5006</v>
      </c>
      <c r="B540" s="33" t="str">
        <f>"Causación Gasto"</f>
        <v>Causación Gasto</v>
      </c>
      <c r="C540" s="34">
        <f ca="1">Gastos_Administrativos!B8</f>
        <v>46125</v>
      </c>
      <c r="D540" s="73" t="str">
        <f ca="1">IF(Gastos_Administrativos!L8=0,"236540",CHOOSE(MATCH(Gastos_Administrativos!F8,{"Arrendamientos";"Servicios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236525</v>
      </c>
      <c r="E540" s="33" t="str">
        <f ca="1">"ReteFuente "&amp;TEXT(Gastos_Administrativos!L8,"0.00%")&amp;" - "&amp;Gastos_Administrativos!F8</f>
        <v>ReteFuente 004% - Tecnología</v>
      </c>
      <c r="F540" s="33" t="str">
        <f ca="1">Gastos_Administrativos!D8</f>
        <v>Inmobiliaria El Poblado S.A.S.</v>
      </c>
      <c r="G540" s="33" t="str">
        <f ca="1">Gastos_Administrativos!E8</f>
        <v>900456789-1</v>
      </c>
      <c r="H540" s="33" t="str">
        <f ca="1">"CC-2"&amp;TEXT(MATCH(Gastos_Administrativos!G8,{"Administración";"Ventas";"Bodega";"Logística";"Gerencia"},0),"00")&amp;" "&amp;Gastos_Administrativos!G8</f>
        <v>CC-205 Gerencia</v>
      </c>
      <c r="I540" s="33" t="str">
        <f ca="1">"ReteFuente "&amp;Gastos_Administrativos!C8&amp;" - "&amp;Gastos_Administrativos!A8</f>
        <v>ReteFuente Software contable - licencia mensual - GA-2006</v>
      </c>
      <c r="J540" s="35">
        <f>0</f>
        <v>0</v>
      </c>
      <c r="K540" s="35">
        <f ca="1">Gastos_Administrativos!M8</f>
        <v>28228</v>
      </c>
      <c r="L540" s="36" t="str">
        <f>Gastos_Administrativos!A8</f>
        <v>GA-2006</v>
      </c>
    </row>
    <row r="541" spans="1:12" x14ac:dyDescent="0.35">
      <c r="A541" s="32" t="str">
        <f>"CE-GA-"&amp;TEXT(5006,"0000")</f>
        <v>CE-GA-5006</v>
      </c>
      <c r="B541" s="33" t="str">
        <f>"Causación Gasto"</f>
        <v>Causación Gasto</v>
      </c>
      <c r="C541" s="34">
        <f ca="1">Gastos_Administrativos!B8</f>
        <v>46125</v>
      </c>
      <c r="D541" s="73" t="str">
        <f>"236701"</f>
        <v>236701</v>
      </c>
      <c r="E541" s="33" t="str">
        <f>"Retención IVA - Régimen común 15%"</f>
        <v>Retención IVA - Régimen común 15%</v>
      </c>
      <c r="F541" s="33" t="str">
        <f ca="1">Gastos_Administrativos!D8</f>
        <v>Inmobiliaria El Poblado S.A.S.</v>
      </c>
      <c r="G541" s="33" t="str">
        <f ca="1">Gastos_Administrativos!E8</f>
        <v>900456789-1</v>
      </c>
      <c r="H541" s="33" t="str">
        <f ca="1">"CC-2"&amp;TEXT(MATCH(Gastos_Administrativos!G8,{"Administración";"Ventas";"Bodega";"Logística";"Gerencia"},0),"00")&amp;" "&amp;Gastos_Administrativos!G8</f>
        <v>CC-205 Gerencia</v>
      </c>
      <c r="I541" s="33" t="str">
        <f>"ReteIVA 15% sobre IVA factura "&amp;Gastos_Administrativos!A8</f>
        <v>ReteIVA 15% sobre IVA factura GA-2006</v>
      </c>
      <c r="J541" s="35">
        <f>0</f>
        <v>0</v>
      </c>
      <c r="K541" s="35">
        <f ca="1">Gastos_Administrativos!O8</f>
        <v>22985</v>
      </c>
      <c r="L541" s="36" t="str">
        <f>Gastos_Administrativos!A8</f>
        <v>GA-2006</v>
      </c>
    </row>
    <row r="542" spans="1:12" x14ac:dyDescent="0.35">
      <c r="A542" s="32" t="str">
        <f>"CE-GA-"&amp;TEXT(5006,"0000")</f>
        <v>CE-GA-5006</v>
      </c>
      <c r="B542" s="33" t="str">
        <f>"Causación Gasto"</f>
        <v>Causación Gasto</v>
      </c>
      <c r="C542" s="34">
        <f ca="1">Gastos_Administrativos!B8</f>
        <v>46125</v>
      </c>
      <c r="D542" s="73" t="str">
        <f>"236805"</f>
        <v>236805</v>
      </c>
      <c r="E542" s="33" t="str">
        <f>"Retención ICA - Medellín 11.04‰"</f>
        <v>Retención ICA - Medellín 11.04‰</v>
      </c>
      <c r="F542" s="33" t="str">
        <f ca="1">Gastos_Administrativos!D8</f>
        <v>Inmobiliaria El Poblado S.A.S.</v>
      </c>
      <c r="G542" s="33" t="str">
        <f ca="1">Gastos_Administrativos!E8</f>
        <v>900456789-1</v>
      </c>
      <c r="H542" s="33" t="str">
        <f ca="1">"CC-2"&amp;TEXT(MATCH(Gastos_Administrativos!G8,{"Administración";"Ventas";"Bodega";"Logística";"Gerencia"},0),"00")&amp;" "&amp;Gastos_Administrativos!G8</f>
        <v>CC-205 Gerencia</v>
      </c>
      <c r="I542" s="33" t="str">
        <f>"ReteICA Medellín sobre gasto "&amp;Gastos_Administrativos!A8</f>
        <v>ReteICA Medellín sobre gasto GA-2006</v>
      </c>
      <c r="J542" s="35">
        <f>0</f>
        <v>0</v>
      </c>
      <c r="K542" s="35">
        <f ca="1">Gastos_Administrativos!Q8</f>
        <v>8904</v>
      </c>
      <c r="L542" s="36" t="str">
        <f>Gastos_Administrativos!A8</f>
        <v>GA-2006</v>
      </c>
    </row>
    <row r="543" spans="1:12" x14ac:dyDescent="0.35">
      <c r="A543" s="32" t="str">
        <f>"CE-GA-"&amp;TEXT(5006,"0000")</f>
        <v>CE-GA-5006</v>
      </c>
      <c r="B543" s="33" t="str">
        <f>"Causación Gasto"</f>
        <v>Causación Gasto</v>
      </c>
      <c r="C543" s="34">
        <f ca="1">Gastos_Administrativos!B8</f>
        <v>46125</v>
      </c>
      <c r="D543" s="73" t="str">
        <f>"233525"</f>
        <v>233525</v>
      </c>
      <c r="E543" s="33" t="str">
        <f>"Costos y gastos por pagar"</f>
        <v>Costos y gastos por pagar</v>
      </c>
      <c r="F543" s="33" t="str">
        <f ca="1">Gastos_Administrativos!D8</f>
        <v>Inmobiliaria El Poblado S.A.S.</v>
      </c>
      <c r="G543" s="33" t="str">
        <f ca="1">Gastos_Administrativos!E8</f>
        <v>900456789-1</v>
      </c>
      <c r="H543" s="33" t="str">
        <f ca="1">"CC-2"&amp;TEXT(MATCH(Gastos_Administrativos!G8,{"Administración";"Ventas";"Bodega";"Logística";"Gerencia"},0),"00")&amp;" "&amp;Gastos_Administrativos!G8</f>
        <v>CC-205 Gerencia</v>
      </c>
      <c r="I543" s="33" t="str">
        <f ca="1">"CxP gasto - "&amp;Gastos_Administrativos!D8&amp;" - "&amp;Gastos_Administrativos!A8</f>
        <v>CxP gasto - Inmobiliaria El Poblado S.A.S. - GA-2006</v>
      </c>
      <c r="J543" s="35">
        <f>0</f>
        <v>0</v>
      </c>
      <c r="K543" s="35">
        <f ca="1">Gastos_Administrativos!R8</f>
        <v>899618</v>
      </c>
      <c r="L543" s="36" t="str">
        <f>Gastos_Administrativos!A8</f>
        <v>GA-2006</v>
      </c>
    </row>
    <row r="544" spans="1:12" x14ac:dyDescent="0.35">
      <c r="A544" s="37" t="str">
        <f>"CE-GA-"&amp;TEXT(5007,"0000")</f>
        <v>CE-GA-5007</v>
      </c>
      <c r="B544" s="38" t="str">
        <f>"Causación Gasto"</f>
        <v>Causación Gasto</v>
      </c>
      <c r="C544" s="39">
        <f ca="1">Gastos_Administrativos!B9</f>
        <v>46130</v>
      </c>
      <c r="D544" s="74" t="str">
        <f ca="1">CHOOSE(MATCH(Gastos_Administrativos!F9,{"Arrendamientos";"Servicios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511005</v>
      </c>
      <c r="E544" s="38" t="str">
        <f ca="1">CHOOSE(MATCH(Gastos_Administrativos!F9,{"Arrendamientos";"Servicios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Honorarios</v>
      </c>
      <c r="F544" s="38" t="str">
        <f ca="1">Gastos_Administrativos!D9</f>
        <v>Software Contable Siigo S.A.</v>
      </c>
      <c r="G544" s="38" t="str">
        <f ca="1">Gastos_Administrativos!E9</f>
        <v>830067335-9</v>
      </c>
      <c r="H544" s="38" t="str">
        <f ca="1">"CC-2"&amp;TEXT(MATCH(Gastos_Administrativos!G9,{"Administración";"Ventas";"Bodega";"Logística";"Gerencia"},0),"00")&amp;" "&amp;Gastos_Administrativos!G9</f>
        <v>CC-204 Logística</v>
      </c>
      <c r="I544" s="38" t="str">
        <f ca="1">"Causación gasto - "&amp;Gastos_Administrativos!C9&amp;" - "&amp;Gastos_Administrativos!A9</f>
        <v>Causación gasto - Honorarios revisoría fiscal - GA-2007</v>
      </c>
      <c r="J544" s="40">
        <f ca="1">Gastos_Administrativos!H9</f>
        <v>6869200</v>
      </c>
      <c r="K544" s="40">
        <f>0</f>
        <v>0</v>
      </c>
      <c r="L544" s="41" t="str">
        <f>Gastos_Administrativos!A9</f>
        <v>GA-2007</v>
      </c>
    </row>
    <row r="545" spans="1:12" x14ac:dyDescent="0.35">
      <c r="A545" s="37" t="str">
        <f>"CE-GA-"&amp;TEXT(5007,"0000")</f>
        <v>CE-GA-5007</v>
      </c>
      <c r="B545" s="38" t="str">
        <f>"Causación Gasto"</f>
        <v>Causación Gasto</v>
      </c>
      <c r="C545" s="39">
        <f ca="1">Gastos_Administrativos!B9</f>
        <v>46130</v>
      </c>
      <c r="D545" s="74" t="str">
        <f>"240810"</f>
        <v>240810</v>
      </c>
      <c r="E545" s="38" t="str">
        <f>"IVA descontable - servicios/compras"</f>
        <v>IVA descontable - servicios/compras</v>
      </c>
      <c r="F545" s="38" t="str">
        <f ca="1">Gastos_Administrativos!D9</f>
        <v>Software Contable Siigo S.A.</v>
      </c>
      <c r="G545" s="38" t="str">
        <f ca="1">Gastos_Administrativos!E9</f>
        <v>830067335-9</v>
      </c>
      <c r="H545" s="38" t="str">
        <f ca="1">"CC-2"&amp;TEXT(MATCH(Gastos_Administrativos!G9,{"Administración";"Ventas";"Bodega";"Logística";"Gerencia"},0),"00")&amp;" "&amp;Gastos_Administrativos!G9</f>
        <v>CC-204 Logística</v>
      </c>
      <c r="I545" s="38" t="str">
        <f>"IVA descontable factura "&amp;Gastos_Administrativos!A9</f>
        <v>IVA descontable factura GA-2007</v>
      </c>
      <c r="J545" s="40">
        <f ca="1">Gastos_Administrativos!J9</f>
        <v>1305148</v>
      </c>
      <c r="K545" s="40">
        <f>0</f>
        <v>0</v>
      </c>
      <c r="L545" s="41" t="str">
        <f>Gastos_Administrativos!A9</f>
        <v>GA-2007</v>
      </c>
    </row>
    <row r="546" spans="1:12" x14ac:dyDescent="0.35">
      <c r="A546" s="37" t="str">
        <f>"CE-GA-"&amp;TEXT(5007,"0000")</f>
        <v>CE-GA-5007</v>
      </c>
      <c r="B546" s="38" t="str">
        <f>"Causación Gasto"</f>
        <v>Causación Gasto</v>
      </c>
      <c r="C546" s="39">
        <f ca="1">Gastos_Administrativos!B9</f>
        <v>46130</v>
      </c>
      <c r="D546" s="74" t="str">
        <f ca="1">IF(Gastos_Administrativos!L9=0,"236540",CHOOSE(MATCH(Gastos_Administrativos!F9,{"Arrendamientos";"Servicios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236515</v>
      </c>
      <c r="E546" s="38" t="str">
        <f ca="1">"ReteFuente "&amp;TEXT(Gastos_Administrativos!L9,"0.00%")&amp;" - "&amp;Gastos_Administrativos!F9</f>
        <v>ReteFuente 011% - Honorarios</v>
      </c>
      <c r="F546" s="38" t="str">
        <f ca="1">Gastos_Administrativos!D9</f>
        <v>Software Contable Siigo S.A.</v>
      </c>
      <c r="G546" s="38" t="str">
        <f ca="1">Gastos_Administrativos!E9</f>
        <v>830067335-9</v>
      </c>
      <c r="H546" s="38" t="str">
        <f ca="1">"CC-2"&amp;TEXT(MATCH(Gastos_Administrativos!G9,{"Administración";"Ventas";"Bodega";"Logística";"Gerencia"},0),"00")&amp;" "&amp;Gastos_Administrativos!G9</f>
        <v>CC-204 Logística</v>
      </c>
      <c r="I546" s="38" t="str">
        <f ca="1">"ReteFuente "&amp;Gastos_Administrativos!C9&amp;" - "&amp;Gastos_Administrativos!A9</f>
        <v>ReteFuente Honorarios revisoría fiscal - GA-2007</v>
      </c>
      <c r="J546" s="40">
        <f>0</f>
        <v>0</v>
      </c>
      <c r="K546" s="40">
        <f ca="1">Gastos_Administrativos!M9</f>
        <v>755612</v>
      </c>
      <c r="L546" s="41" t="str">
        <f>Gastos_Administrativos!A9</f>
        <v>GA-2007</v>
      </c>
    </row>
    <row r="547" spans="1:12" x14ac:dyDescent="0.35">
      <c r="A547" s="37" t="str">
        <f>"CE-GA-"&amp;TEXT(5007,"0000")</f>
        <v>CE-GA-5007</v>
      </c>
      <c r="B547" s="38" t="str">
        <f>"Causación Gasto"</f>
        <v>Causación Gasto</v>
      </c>
      <c r="C547" s="39">
        <f ca="1">Gastos_Administrativos!B9</f>
        <v>46130</v>
      </c>
      <c r="D547" s="74" t="str">
        <f>"236701"</f>
        <v>236701</v>
      </c>
      <c r="E547" s="38" t="str">
        <f>"Retención IVA - Régimen común 15%"</f>
        <v>Retención IVA - Régimen común 15%</v>
      </c>
      <c r="F547" s="38" t="str">
        <f ca="1">Gastos_Administrativos!D9</f>
        <v>Software Contable Siigo S.A.</v>
      </c>
      <c r="G547" s="38" t="str">
        <f ca="1">Gastos_Administrativos!E9</f>
        <v>830067335-9</v>
      </c>
      <c r="H547" s="38" t="str">
        <f ca="1">"CC-2"&amp;TEXT(MATCH(Gastos_Administrativos!G9,{"Administración";"Ventas";"Bodega";"Logística";"Gerencia"},0),"00")&amp;" "&amp;Gastos_Administrativos!G9</f>
        <v>CC-204 Logística</v>
      </c>
      <c r="I547" s="38" t="str">
        <f>"ReteIVA 15% sobre IVA factura "&amp;Gastos_Administrativos!A9</f>
        <v>ReteIVA 15% sobre IVA factura GA-2007</v>
      </c>
      <c r="J547" s="40">
        <f>0</f>
        <v>0</v>
      </c>
      <c r="K547" s="40">
        <f ca="1">Gastos_Administrativos!O9</f>
        <v>195772</v>
      </c>
      <c r="L547" s="41" t="str">
        <f>Gastos_Administrativos!A9</f>
        <v>GA-2007</v>
      </c>
    </row>
    <row r="548" spans="1:12" x14ac:dyDescent="0.35">
      <c r="A548" s="37" t="str">
        <f>"CE-GA-"&amp;TEXT(5007,"0000")</f>
        <v>CE-GA-5007</v>
      </c>
      <c r="B548" s="38" t="str">
        <f>"Causación Gasto"</f>
        <v>Causación Gasto</v>
      </c>
      <c r="C548" s="39">
        <f ca="1">Gastos_Administrativos!B9</f>
        <v>46130</v>
      </c>
      <c r="D548" s="74" t="str">
        <f>"236805"</f>
        <v>236805</v>
      </c>
      <c r="E548" s="38" t="str">
        <f>"Retención ICA - Medellín 11.04‰"</f>
        <v>Retención ICA - Medellín 11.04‰</v>
      </c>
      <c r="F548" s="38" t="str">
        <f ca="1">Gastos_Administrativos!D9</f>
        <v>Software Contable Siigo S.A.</v>
      </c>
      <c r="G548" s="38" t="str">
        <f ca="1">Gastos_Administrativos!E9</f>
        <v>830067335-9</v>
      </c>
      <c r="H548" s="38" t="str">
        <f ca="1">"CC-2"&amp;TEXT(MATCH(Gastos_Administrativos!G9,{"Administración";"Ventas";"Bodega";"Logística";"Gerencia"},0),"00")&amp;" "&amp;Gastos_Administrativos!G9</f>
        <v>CC-204 Logística</v>
      </c>
      <c r="I548" s="38" t="str">
        <f>"ReteICA Medellín sobre gasto "&amp;Gastos_Administrativos!A9</f>
        <v>ReteICA Medellín sobre gasto GA-2007</v>
      </c>
      <c r="J548" s="40">
        <f>0</f>
        <v>0</v>
      </c>
      <c r="K548" s="40">
        <f ca="1">Gastos_Administrativos!Q9</f>
        <v>75836</v>
      </c>
      <c r="L548" s="41" t="str">
        <f>Gastos_Administrativos!A9</f>
        <v>GA-2007</v>
      </c>
    </row>
    <row r="549" spans="1:12" x14ac:dyDescent="0.35">
      <c r="A549" s="37" t="str">
        <f>"CE-GA-"&amp;TEXT(5007,"0000")</f>
        <v>CE-GA-5007</v>
      </c>
      <c r="B549" s="38" t="str">
        <f>"Causación Gasto"</f>
        <v>Causación Gasto</v>
      </c>
      <c r="C549" s="39">
        <f ca="1">Gastos_Administrativos!B9</f>
        <v>46130</v>
      </c>
      <c r="D549" s="74" t="str">
        <f>"233525"</f>
        <v>233525</v>
      </c>
      <c r="E549" s="38" t="str">
        <f>"Costos y gastos por pagar"</f>
        <v>Costos y gastos por pagar</v>
      </c>
      <c r="F549" s="38" t="str">
        <f ca="1">Gastos_Administrativos!D9</f>
        <v>Software Contable Siigo S.A.</v>
      </c>
      <c r="G549" s="38" t="str">
        <f ca="1">Gastos_Administrativos!E9</f>
        <v>830067335-9</v>
      </c>
      <c r="H549" s="38" t="str">
        <f ca="1">"CC-2"&amp;TEXT(MATCH(Gastos_Administrativos!G9,{"Administración";"Ventas";"Bodega";"Logística";"Gerencia"},0),"00")&amp;" "&amp;Gastos_Administrativos!G9</f>
        <v>CC-204 Logística</v>
      </c>
      <c r="I549" s="38" t="str">
        <f ca="1">"CxP gasto - "&amp;Gastos_Administrativos!D9&amp;" - "&amp;Gastos_Administrativos!A9</f>
        <v>CxP gasto - Software Contable Siigo S.A. - GA-2007</v>
      </c>
      <c r="J549" s="40">
        <f>0</f>
        <v>0</v>
      </c>
      <c r="K549" s="40">
        <f ca="1">Gastos_Administrativos!R9</f>
        <v>7147128</v>
      </c>
      <c r="L549" s="41" t="str">
        <f>Gastos_Administrativos!A9</f>
        <v>GA-2007</v>
      </c>
    </row>
    <row r="550" spans="1:12" x14ac:dyDescent="0.35">
      <c r="A550" s="32" t="str">
        <f>"CE-GA-"&amp;TEXT(5008,"0000")</f>
        <v>CE-GA-5008</v>
      </c>
      <c r="B550" s="33" t="str">
        <f>"Causación Gasto"</f>
        <v>Causación Gasto</v>
      </c>
      <c r="C550" s="34">
        <f ca="1">Gastos_Administrativos!B10</f>
        <v>46047</v>
      </c>
      <c r="D550" s="73" t="str">
        <f ca="1">CHOOSE(MATCH(Gastos_Administrativos!F10,{"Arrendamientos";"Servicios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512010</v>
      </c>
      <c r="E550" s="33" t="str">
        <f ca="1">CHOOSE(MATCH(Gastos_Administrativos!F10,{"Arrendamientos";"Servicios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Arrendamientos</v>
      </c>
      <c r="F550" s="33" t="str">
        <f ca="1">Gastos_Administrativos!D10</f>
        <v>Bufete Jurídico Aburrá Ltda.</v>
      </c>
      <c r="G550" s="33" t="str">
        <f ca="1">Gastos_Administrativos!E10</f>
        <v>901345678-3</v>
      </c>
      <c r="H550" s="33" t="str">
        <f ca="1">"CC-2"&amp;TEXT(MATCH(Gastos_Administrativos!G10,{"Administración";"Ventas";"Bodega";"Logística";"Gerencia"},0),"00")&amp;" "&amp;Gastos_Administrativos!G10</f>
        <v>CC-203 Bodega</v>
      </c>
      <c r="I550" s="33" t="str">
        <f ca="1">"Causación gasto - "&amp;Gastos_Administrativos!C10&amp;" - "&amp;Gastos_Administrativos!A10</f>
        <v>Causación gasto - Arrendamiento local comercial - GA-2008</v>
      </c>
      <c r="J550" s="35">
        <f ca="1">Gastos_Administrativos!H10</f>
        <v>5728000</v>
      </c>
      <c r="K550" s="35">
        <f>0</f>
        <v>0</v>
      </c>
      <c r="L550" s="36" t="str">
        <f>Gastos_Administrativos!A10</f>
        <v>GA-2008</v>
      </c>
    </row>
    <row r="551" spans="1:12" x14ac:dyDescent="0.35">
      <c r="A551" s="32" t="str">
        <f>"CE-GA-"&amp;TEXT(5008,"0000")</f>
        <v>CE-GA-5008</v>
      </c>
      <c r="B551" s="33" t="str">
        <f>"Causación Gasto"</f>
        <v>Causación Gasto</v>
      </c>
      <c r="C551" s="34">
        <f ca="1">Gastos_Administrativos!B10</f>
        <v>46047</v>
      </c>
      <c r="D551" s="73" t="str">
        <f>"240810"</f>
        <v>240810</v>
      </c>
      <c r="E551" s="33" t="str">
        <f>"IVA descontable - servicios/compras"</f>
        <v>IVA descontable - servicios/compras</v>
      </c>
      <c r="F551" s="33" t="str">
        <f ca="1">Gastos_Administrativos!D10</f>
        <v>Bufete Jurídico Aburrá Ltda.</v>
      </c>
      <c r="G551" s="33" t="str">
        <f ca="1">Gastos_Administrativos!E10</f>
        <v>901345678-3</v>
      </c>
      <c r="H551" s="33" t="str">
        <f ca="1">"CC-2"&amp;TEXT(MATCH(Gastos_Administrativos!G10,{"Administración";"Ventas";"Bodega";"Logística";"Gerencia"},0),"00")&amp;" "&amp;Gastos_Administrativos!G10</f>
        <v>CC-203 Bodega</v>
      </c>
      <c r="I551" s="33" t="str">
        <f>"IVA descontable factura "&amp;Gastos_Administrativos!A10</f>
        <v>IVA descontable factura GA-2008</v>
      </c>
      <c r="J551" s="35">
        <f ca="1">Gastos_Administrativos!J10</f>
        <v>1088320</v>
      </c>
      <c r="K551" s="35">
        <f>0</f>
        <v>0</v>
      </c>
      <c r="L551" s="36" t="str">
        <f>Gastos_Administrativos!A10</f>
        <v>GA-2008</v>
      </c>
    </row>
    <row r="552" spans="1:12" x14ac:dyDescent="0.35">
      <c r="A552" s="32" t="str">
        <f>"CE-GA-"&amp;TEXT(5008,"0000")</f>
        <v>CE-GA-5008</v>
      </c>
      <c r="B552" s="33" t="str">
        <f>"Causación Gasto"</f>
        <v>Causación Gasto</v>
      </c>
      <c r="C552" s="34">
        <f ca="1">Gastos_Administrativos!B10</f>
        <v>46047</v>
      </c>
      <c r="D552" s="73" t="str">
        <f ca="1">IF(Gastos_Administrativos!L10=0,"236540",CHOOSE(MATCH(Gastos_Administrativos!F10,{"Arrendamientos";"Servicios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236525</v>
      </c>
      <c r="E552" s="33" t="str">
        <f ca="1">"ReteFuente "&amp;TEXT(Gastos_Administrativos!L10,"0.00%")&amp;" - "&amp;Gastos_Administrativos!F10</f>
        <v>ReteFuente 004% - Arrendamientos</v>
      </c>
      <c r="F552" s="33" t="str">
        <f ca="1">Gastos_Administrativos!D10</f>
        <v>Bufete Jurídico Aburrá Ltda.</v>
      </c>
      <c r="G552" s="33" t="str">
        <f ca="1">Gastos_Administrativos!E10</f>
        <v>901345678-3</v>
      </c>
      <c r="H552" s="33" t="str">
        <f ca="1">"CC-2"&amp;TEXT(MATCH(Gastos_Administrativos!G10,{"Administración";"Ventas";"Bodega";"Logística";"Gerencia"},0),"00")&amp;" "&amp;Gastos_Administrativos!G10</f>
        <v>CC-203 Bodega</v>
      </c>
      <c r="I552" s="33" t="str">
        <f ca="1">"ReteFuente "&amp;Gastos_Administrativos!C10&amp;" - "&amp;Gastos_Administrativos!A10</f>
        <v>ReteFuente Arrendamiento local comercial - GA-2008</v>
      </c>
      <c r="J552" s="35">
        <f>0</f>
        <v>0</v>
      </c>
      <c r="K552" s="35">
        <f ca="1">Gastos_Administrativos!M10</f>
        <v>200480</v>
      </c>
      <c r="L552" s="36" t="str">
        <f>Gastos_Administrativos!A10</f>
        <v>GA-2008</v>
      </c>
    </row>
    <row r="553" spans="1:12" x14ac:dyDescent="0.35">
      <c r="A553" s="32" t="str">
        <f>"CE-GA-"&amp;TEXT(5008,"0000")</f>
        <v>CE-GA-5008</v>
      </c>
      <c r="B553" s="33" t="str">
        <f>"Causación Gasto"</f>
        <v>Causación Gasto</v>
      </c>
      <c r="C553" s="34">
        <f ca="1">Gastos_Administrativos!B10</f>
        <v>46047</v>
      </c>
      <c r="D553" s="73" t="str">
        <f>"236701"</f>
        <v>236701</v>
      </c>
      <c r="E553" s="33" t="str">
        <f>"Retención IVA - Régimen común 15%"</f>
        <v>Retención IVA - Régimen común 15%</v>
      </c>
      <c r="F553" s="33" t="str">
        <f ca="1">Gastos_Administrativos!D10</f>
        <v>Bufete Jurídico Aburrá Ltda.</v>
      </c>
      <c r="G553" s="33" t="str">
        <f ca="1">Gastos_Administrativos!E10</f>
        <v>901345678-3</v>
      </c>
      <c r="H553" s="33" t="str">
        <f ca="1">"CC-2"&amp;TEXT(MATCH(Gastos_Administrativos!G10,{"Administración";"Ventas";"Bodega";"Logística";"Gerencia"},0),"00")&amp;" "&amp;Gastos_Administrativos!G10</f>
        <v>CC-203 Bodega</v>
      </c>
      <c r="I553" s="33" t="str">
        <f>"ReteIVA 15% sobre IVA factura "&amp;Gastos_Administrativos!A10</f>
        <v>ReteIVA 15% sobre IVA factura GA-2008</v>
      </c>
      <c r="J553" s="35">
        <f>0</f>
        <v>0</v>
      </c>
      <c r="K553" s="35">
        <f ca="1">Gastos_Administrativos!O10</f>
        <v>163248</v>
      </c>
      <c r="L553" s="36" t="str">
        <f>Gastos_Administrativos!A10</f>
        <v>GA-2008</v>
      </c>
    </row>
    <row r="554" spans="1:12" x14ac:dyDescent="0.35">
      <c r="A554" s="32" t="str">
        <f>"CE-GA-"&amp;TEXT(5008,"0000")</f>
        <v>CE-GA-5008</v>
      </c>
      <c r="B554" s="33" t="str">
        <f>"Causación Gasto"</f>
        <v>Causación Gasto</v>
      </c>
      <c r="C554" s="34">
        <f ca="1">Gastos_Administrativos!B10</f>
        <v>46047</v>
      </c>
      <c r="D554" s="73" t="str">
        <f>"236805"</f>
        <v>236805</v>
      </c>
      <c r="E554" s="33" t="str">
        <f>"Retención ICA - Medellín 11.04‰"</f>
        <v>Retención ICA - Medellín 11.04‰</v>
      </c>
      <c r="F554" s="33" t="str">
        <f ca="1">Gastos_Administrativos!D10</f>
        <v>Bufete Jurídico Aburrá Ltda.</v>
      </c>
      <c r="G554" s="33" t="str">
        <f ca="1">Gastos_Administrativos!E10</f>
        <v>901345678-3</v>
      </c>
      <c r="H554" s="33" t="str">
        <f ca="1">"CC-2"&amp;TEXT(MATCH(Gastos_Administrativos!G10,{"Administración";"Ventas";"Bodega";"Logística";"Gerencia"},0),"00")&amp;" "&amp;Gastos_Administrativos!G10</f>
        <v>CC-203 Bodega</v>
      </c>
      <c r="I554" s="33" t="str">
        <f>"ReteICA Medellín sobre gasto "&amp;Gastos_Administrativos!A10</f>
        <v>ReteICA Medellín sobre gasto GA-2008</v>
      </c>
      <c r="J554" s="35">
        <f>0</f>
        <v>0</v>
      </c>
      <c r="K554" s="35">
        <f ca="1">Gastos_Administrativos!Q10</f>
        <v>63237</v>
      </c>
      <c r="L554" s="36" t="str">
        <f>Gastos_Administrativos!A10</f>
        <v>GA-2008</v>
      </c>
    </row>
    <row r="555" spans="1:12" x14ac:dyDescent="0.35">
      <c r="A555" s="32" t="str">
        <f>"CE-GA-"&amp;TEXT(5008,"0000")</f>
        <v>CE-GA-5008</v>
      </c>
      <c r="B555" s="33" t="str">
        <f>"Causación Gasto"</f>
        <v>Causación Gasto</v>
      </c>
      <c r="C555" s="34">
        <f ca="1">Gastos_Administrativos!B10</f>
        <v>46047</v>
      </c>
      <c r="D555" s="73" t="str">
        <f>"233525"</f>
        <v>233525</v>
      </c>
      <c r="E555" s="33" t="str">
        <f>"Costos y gastos por pagar"</f>
        <v>Costos y gastos por pagar</v>
      </c>
      <c r="F555" s="33" t="str">
        <f ca="1">Gastos_Administrativos!D10</f>
        <v>Bufete Jurídico Aburrá Ltda.</v>
      </c>
      <c r="G555" s="33" t="str">
        <f ca="1">Gastos_Administrativos!E10</f>
        <v>901345678-3</v>
      </c>
      <c r="H555" s="33" t="str">
        <f ca="1">"CC-2"&amp;TEXT(MATCH(Gastos_Administrativos!G10,{"Administración";"Ventas";"Bodega";"Logística";"Gerencia"},0),"00")&amp;" "&amp;Gastos_Administrativos!G10</f>
        <v>CC-203 Bodega</v>
      </c>
      <c r="I555" s="33" t="str">
        <f ca="1">"CxP gasto - "&amp;Gastos_Administrativos!D10&amp;" - "&amp;Gastos_Administrativos!A10</f>
        <v>CxP gasto - Bufete Jurídico Aburrá Ltda. - GA-2008</v>
      </c>
      <c r="J555" s="35">
        <f>0</f>
        <v>0</v>
      </c>
      <c r="K555" s="35">
        <f ca="1">Gastos_Administrativos!R10</f>
        <v>6389355</v>
      </c>
      <c r="L555" s="36" t="str">
        <f>Gastos_Administrativos!A10</f>
        <v>GA-2008</v>
      </c>
    </row>
    <row r="556" spans="1:12" x14ac:dyDescent="0.35">
      <c r="A556" s="37" t="str">
        <f>"CE-GA-"&amp;TEXT(5009,"0000")</f>
        <v>CE-GA-5009</v>
      </c>
      <c r="B556" s="38" t="str">
        <f>"Causación Gasto"</f>
        <v>Causación Gasto</v>
      </c>
      <c r="C556" s="39">
        <f ca="1">Gastos_Administrativos!B11</f>
        <v>46092</v>
      </c>
      <c r="D556" s="74" t="str">
        <f ca="1">CHOOSE(MATCH(Gastos_Administrativos!F11,{"Arrendamientos";"Servicios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511005</v>
      </c>
      <c r="E556" s="38" t="str">
        <f ca="1">CHOOSE(MATCH(Gastos_Administrativos!F11,{"Arrendamientos";"Servicios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Honorarios</v>
      </c>
      <c r="F556" s="38" t="str">
        <f ca="1">Gastos_Administrativos!D11</f>
        <v>Bancolombia S.A.</v>
      </c>
      <c r="G556" s="38" t="str">
        <f ca="1">Gastos_Administrativos!E11</f>
        <v>890903938-8</v>
      </c>
      <c r="H556" s="38" t="str">
        <f ca="1">"CC-2"&amp;TEXT(MATCH(Gastos_Administrativos!G11,{"Administración";"Ventas";"Bodega";"Logística";"Gerencia"},0),"00")&amp;" "&amp;Gastos_Administrativos!G11</f>
        <v>CC-203 Bodega</v>
      </c>
      <c r="I556" s="38" t="str">
        <f ca="1">"Causación gasto - "&amp;Gastos_Administrativos!C11&amp;" - "&amp;Gastos_Administrativos!A11</f>
        <v>Causación gasto - Honorarios asesoría jurídica - GA-2009</v>
      </c>
      <c r="J556" s="40">
        <f ca="1">Gastos_Administrativos!H11</f>
        <v>2512600</v>
      </c>
      <c r="K556" s="40">
        <f>0</f>
        <v>0</v>
      </c>
      <c r="L556" s="41" t="str">
        <f>Gastos_Administrativos!A11</f>
        <v>GA-2009</v>
      </c>
    </row>
    <row r="557" spans="1:12" x14ac:dyDescent="0.35">
      <c r="A557" s="37" t="str">
        <f>"CE-GA-"&amp;TEXT(5009,"0000")</f>
        <v>CE-GA-5009</v>
      </c>
      <c r="B557" s="38" t="str">
        <f>"Causación Gasto"</f>
        <v>Causación Gasto</v>
      </c>
      <c r="C557" s="39">
        <f ca="1">Gastos_Administrativos!B11</f>
        <v>46092</v>
      </c>
      <c r="D557" s="74" t="str">
        <f>"240810"</f>
        <v>240810</v>
      </c>
      <c r="E557" s="38" t="str">
        <f>"IVA descontable - servicios/compras"</f>
        <v>IVA descontable - servicios/compras</v>
      </c>
      <c r="F557" s="38" t="str">
        <f ca="1">Gastos_Administrativos!D11</f>
        <v>Bancolombia S.A.</v>
      </c>
      <c r="G557" s="38" t="str">
        <f ca="1">Gastos_Administrativos!E11</f>
        <v>890903938-8</v>
      </c>
      <c r="H557" s="38" t="str">
        <f ca="1">"CC-2"&amp;TEXT(MATCH(Gastos_Administrativos!G11,{"Administración";"Ventas";"Bodega";"Logística";"Gerencia"},0),"00")&amp;" "&amp;Gastos_Administrativos!G11</f>
        <v>CC-203 Bodega</v>
      </c>
      <c r="I557" s="38" t="str">
        <f>"IVA descontable factura "&amp;Gastos_Administrativos!A11</f>
        <v>IVA descontable factura GA-2009</v>
      </c>
      <c r="J557" s="40">
        <f ca="1">Gastos_Administrativos!J11</f>
        <v>477394</v>
      </c>
      <c r="K557" s="40">
        <f>0</f>
        <v>0</v>
      </c>
      <c r="L557" s="41" t="str">
        <f>Gastos_Administrativos!A11</f>
        <v>GA-2009</v>
      </c>
    </row>
    <row r="558" spans="1:12" x14ac:dyDescent="0.35">
      <c r="A558" s="37" t="str">
        <f>"CE-GA-"&amp;TEXT(5009,"0000")</f>
        <v>CE-GA-5009</v>
      </c>
      <c r="B558" s="38" t="str">
        <f>"Causación Gasto"</f>
        <v>Causación Gasto</v>
      </c>
      <c r="C558" s="39">
        <f ca="1">Gastos_Administrativos!B11</f>
        <v>46092</v>
      </c>
      <c r="D558" s="74" t="str">
        <f ca="1">IF(Gastos_Administrativos!L11=0,"236540",CHOOSE(MATCH(Gastos_Administrativos!F11,{"Arrendamientos";"Servicios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236515</v>
      </c>
      <c r="E558" s="38" t="str">
        <f ca="1">"ReteFuente "&amp;TEXT(Gastos_Administrativos!L11,"0.00%")&amp;" - "&amp;Gastos_Administrativos!F11</f>
        <v>ReteFuente 011% - Honorarios</v>
      </c>
      <c r="F558" s="38" t="str">
        <f ca="1">Gastos_Administrativos!D11</f>
        <v>Bancolombia S.A.</v>
      </c>
      <c r="G558" s="38" t="str">
        <f ca="1">Gastos_Administrativos!E11</f>
        <v>890903938-8</v>
      </c>
      <c r="H558" s="38" t="str">
        <f ca="1">"CC-2"&amp;TEXT(MATCH(Gastos_Administrativos!G11,{"Administración";"Ventas";"Bodega";"Logística";"Gerencia"},0),"00")&amp;" "&amp;Gastos_Administrativos!G11</f>
        <v>CC-203 Bodega</v>
      </c>
      <c r="I558" s="38" t="str">
        <f ca="1">"ReteFuente "&amp;Gastos_Administrativos!C11&amp;" - "&amp;Gastos_Administrativos!A11</f>
        <v>ReteFuente Honorarios asesoría jurídica - GA-2009</v>
      </c>
      <c r="J558" s="40">
        <f>0</f>
        <v>0</v>
      </c>
      <c r="K558" s="40">
        <f ca="1">Gastos_Administrativos!M11</f>
        <v>276386</v>
      </c>
      <c r="L558" s="41" t="str">
        <f>Gastos_Administrativos!A11</f>
        <v>GA-2009</v>
      </c>
    </row>
    <row r="559" spans="1:12" x14ac:dyDescent="0.35">
      <c r="A559" s="37" t="str">
        <f>"CE-GA-"&amp;TEXT(5009,"0000")</f>
        <v>CE-GA-5009</v>
      </c>
      <c r="B559" s="38" t="str">
        <f>"Causación Gasto"</f>
        <v>Causación Gasto</v>
      </c>
      <c r="C559" s="39">
        <f ca="1">Gastos_Administrativos!B11</f>
        <v>46092</v>
      </c>
      <c r="D559" s="74" t="str">
        <f>"236701"</f>
        <v>236701</v>
      </c>
      <c r="E559" s="38" t="str">
        <f>"Retención IVA - Régimen común 15%"</f>
        <v>Retención IVA - Régimen común 15%</v>
      </c>
      <c r="F559" s="38" t="str">
        <f ca="1">Gastos_Administrativos!D11</f>
        <v>Bancolombia S.A.</v>
      </c>
      <c r="G559" s="38" t="str">
        <f ca="1">Gastos_Administrativos!E11</f>
        <v>890903938-8</v>
      </c>
      <c r="H559" s="38" t="str">
        <f ca="1">"CC-2"&amp;TEXT(MATCH(Gastos_Administrativos!G11,{"Administración";"Ventas";"Bodega";"Logística";"Gerencia"},0),"00")&amp;" "&amp;Gastos_Administrativos!G11</f>
        <v>CC-203 Bodega</v>
      </c>
      <c r="I559" s="38" t="str">
        <f>"ReteIVA 15% sobre IVA factura "&amp;Gastos_Administrativos!A11</f>
        <v>ReteIVA 15% sobre IVA factura GA-2009</v>
      </c>
      <c r="J559" s="40">
        <f>0</f>
        <v>0</v>
      </c>
      <c r="K559" s="40">
        <f ca="1">Gastos_Administrativos!O11</f>
        <v>71609</v>
      </c>
      <c r="L559" s="41" t="str">
        <f>Gastos_Administrativos!A11</f>
        <v>GA-2009</v>
      </c>
    </row>
    <row r="560" spans="1:12" x14ac:dyDescent="0.35">
      <c r="A560" s="37" t="str">
        <f>"CE-GA-"&amp;TEXT(5009,"0000")</f>
        <v>CE-GA-5009</v>
      </c>
      <c r="B560" s="38" t="str">
        <f>"Causación Gasto"</f>
        <v>Causación Gasto</v>
      </c>
      <c r="C560" s="39">
        <f ca="1">Gastos_Administrativos!B11</f>
        <v>46092</v>
      </c>
      <c r="D560" s="74" t="str">
        <f>"236805"</f>
        <v>236805</v>
      </c>
      <c r="E560" s="38" t="str">
        <f>"Retención ICA - Medellín 11.04‰"</f>
        <v>Retención ICA - Medellín 11.04‰</v>
      </c>
      <c r="F560" s="38" t="str">
        <f ca="1">Gastos_Administrativos!D11</f>
        <v>Bancolombia S.A.</v>
      </c>
      <c r="G560" s="38" t="str">
        <f ca="1">Gastos_Administrativos!E11</f>
        <v>890903938-8</v>
      </c>
      <c r="H560" s="38" t="str">
        <f ca="1">"CC-2"&amp;TEXT(MATCH(Gastos_Administrativos!G11,{"Administración";"Ventas";"Bodega";"Logística";"Gerencia"},0),"00")&amp;" "&amp;Gastos_Administrativos!G11</f>
        <v>CC-203 Bodega</v>
      </c>
      <c r="I560" s="38" t="str">
        <f>"ReteICA Medellín sobre gasto "&amp;Gastos_Administrativos!A11</f>
        <v>ReteICA Medellín sobre gasto GA-2009</v>
      </c>
      <c r="J560" s="40">
        <f>0</f>
        <v>0</v>
      </c>
      <c r="K560" s="40">
        <f ca="1">Gastos_Administrativos!Q11</f>
        <v>27739</v>
      </c>
      <c r="L560" s="41" t="str">
        <f>Gastos_Administrativos!A11</f>
        <v>GA-2009</v>
      </c>
    </row>
    <row r="561" spans="1:12" x14ac:dyDescent="0.35">
      <c r="A561" s="37" t="str">
        <f>"CE-GA-"&amp;TEXT(5009,"0000")</f>
        <v>CE-GA-5009</v>
      </c>
      <c r="B561" s="38" t="str">
        <f>"Causación Gasto"</f>
        <v>Causación Gasto</v>
      </c>
      <c r="C561" s="39">
        <f ca="1">Gastos_Administrativos!B11</f>
        <v>46092</v>
      </c>
      <c r="D561" s="74" t="str">
        <f>"233525"</f>
        <v>233525</v>
      </c>
      <c r="E561" s="38" t="str">
        <f>"Costos y gastos por pagar"</f>
        <v>Costos y gastos por pagar</v>
      </c>
      <c r="F561" s="38" t="str">
        <f ca="1">Gastos_Administrativos!D11</f>
        <v>Bancolombia S.A.</v>
      </c>
      <c r="G561" s="38" t="str">
        <f ca="1">Gastos_Administrativos!E11</f>
        <v>890903938-8</v>
      </c>
      <c r="H561" s="38" t="str">
        <f ca="1">"CC-2"&amp;TEXT(MATCH(Gastos_Administrativos!G11,{"Administración";"Ventas";"Bodega";"Logística";"Gerencia"},0),"00")&amp;" "&amp;Gastos_Administrativos!G11</f>
        <v>CC-203 Bodega</v>
      </c>
      <c r="I561" s="38" t="str">
        <f ca="1">"CxP gasto - "&amp;Gastos_Administrativos!D11&amp;" - "&amp;Gastos_Administrativos!A11</f>
        <v>CxP gasto - Bancolombia S.A. - GA-2009</v>
      </c>
      <c r="J561" s="40">
        <f>0</f>
        <v>0</v>
      </c>
      <c r="K561" s="40">
        <f ca="1">Gastos_Administrativos!R11</f>
        <v>2614260</v>
      </c>
      <c r="L561" s="41" t="str">
        <f>Gastos_Administrativos!A11</f>
        <v>GA-2009</v>
      </c>
    </row>
    <row r="562" spans="1:12" x14ac:dyDescent="0.35">
      <c r="A562" s="32" t="str">
        <f>"CE-GA-"&amp;TEXT(5010,"0000")</f>
        <v>CE-GA-5010</v>
      </c>
      <c r="B562" s="33" t="str">
        <f>"Causación Gasto"</f>
        <v>Causación Gasto</v>
      </c>
      <c r="C562" s="34">
        <f ca="1">Gastos_Administrativos!B12</f>
        <v>46071</v>
      </c>
      <c r="D562" s="73" t="str">
        <f ca="1">CHOOSE(MATCH(Gastos_Administrativos!F12,{"Arrendamientos";"Servicios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513550</v>
      </c>
      <c r="E562" s="33" t="str">
        <f ca="1">CHOOSE(MATCH(Gastos_Administrativos!F12,{"Arrendamientos";"Servicios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Combustibles, peajes y transporte</v>
      </c>
      <c r="F562" s="33" t="str">
        <f ca="1">Gastos_Administrativos!D12</f>
        <v>TecnoSoporte Paisa S.A.S.</v>
      </c>
      <c r="G562" s="33" t="str">
        <f ca="1">Gastos_Administrativos!E12</f>
        <v>901456789-6</v>
      </c>
      <c r="H562" s="33" t="str">
        <f ca="1">"CC-2"&amp;TEXT(MATCH(Gastos_Administrativos!G12,{"Administración";"Ventas";"Bodega";"Logística";"Gerencia"},0),"00")&amp;" "&amp;Gastos_Administrativos!G12</f>
        <v>CC-202 Ventas</v>
      </c>
      <c r="I562" s="33" t="str">
        <f ca="1">"Causación gasto - "&amp;Gastos_Administrativos!C12&amp;" - "&amp;Gastos_Administrativos!A12</f>
        <v>Causación gasto - Combustible vehículo de reparto - GA-2010</v>
      </c>
      <c r="J562" s="35">
        <f ca="1">Gastos_Administrativos!H12</f>
        <v>1297900</v>
      </c>
      <c r="K562" s="35">
        <f>0</f>
        <v>0</v>
      </c>
      <c r="L562" s="36" t="str">
        <f>Gastos_Administrativos!A12</f>
        <v>GA-2010</v>
      </c>
    </row>
    <row r="563" spans="1:12" x14ac:dyDescent="0.35">
      <c r="A563" s="32" t="str">
        <f>"CE-GA-"&amp;TEXT(5010,"0000")</f>
        <v>CE-GA-5010</v>
      </c>
      <c r="B563" s="33" t="str">
        <f>"Causación Gasto"</f>
        <v>Causación Gasto</v>
      </c>
      <c r="C563" s="34">
        <f ca="1">Gastos_Administrativos!B12</f>
        <v>46071</v>
      </c>
      <c r="D563" s="73" t="str">
        <f>"240810"</f>
        <v>240810</v>
      </c>
      <c r="E563" s="33" t="str">
        <f>"IVA descontable - servicios/compras"</f>
        <v>IVA descontable - servicios/compras</v>
      </c>
      <c r="F563" s="33" t="str">
        <f ca="1">Gastos_Administrativos!D12</f>
        <v>TecnoSoporte Paisa S.A.S.</v>
      </c>
      <c r="G563" s="33" t="str">
        <f ca="1">Gastos_Administrativos!E12</f>
        <v>901456789-6</v>
      </c>
      <c r="H563" s="33" t="str">
        <f ca="1">"CC-2"&amp;TEXT(MATCH(Gastos_Administrativos!G12,{"Administración";"Ventas";"Bodega";"Logística";"Gerencia"},0),"00")&amp;" "&amp;Gastos_Administrativos!G12</f>
        <v>CC-202 Ventas</v>
      </c>
      <c r="I563" s="33" t="str">
        <f>"IVA descontable factura "&amp;Gastos_Administrativos!A12</f>
        <v>IVA descontable factura GA-2010</v>
      </c>
      <c r="J563" s="35">
        <f ca="1">Gastos_Administrativos!J12</f>
        <v>246601</v>
      </c>
      <c r="K563" s="35">
        <f>0</f>
        <v>0</v>
      </c>
      <c r="L563" s="36" t="str">
        <f>Gastos_Administrativos!A12</f>
        <v>GA-2010</v>
      </c>
    </row>
    <row r="564" spans="1:12" x14ac:dyDescent="0.35">
      <c r="A564" s="32" t="str">
        <f>"CE-GA-"&amp;TEXT(5010,"0000")</f>
        <v>CE-GA-5010</v>
      </c>
      <c r="B564" s="33" t="str">
        <f>"Causación Gasto"</f>
        <v>Causación Gasto</v>
      </c>
      <c r="C564" s="34">
        <f ca="1">Gastos_Administrativos!B12</f>
        <v>46071</v>
      </c>
      <c r="D564" s="73" t="str">
        <f ca="1">IF(Gastos_Administrativos!L12=0,"236540",CHOOSE(MATCH(Gastos_Administrativos!F12,{"Arrendamientos";"Servicios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236570</v>
      </c>
      <c r="E564" s="33" t="str">
        <f ca="1">"ReteFuente "&amp;TEXT(Gastos_Administrativos!L12,"0.00%")&amp;" - "&amp;Gastos_Administrativos!F12</f>
        <v>ReteFuente 000% - Transporte</v>
      </c>
      <c r="F564" s="33" t="str">
        <f ca="1">Gastos_Administrativos!D12</f>
        <v>TecnoSoporte Paisa S.A.S.</v>
      </c>
      <c r="G564" s="33" t="str">
        <f ca="1">Gastos_Administrativos!E12</f>
        <v>901456789-6</v>
      </c>
      <c r="H564" s="33" t="str">
        <f ca="1">"CC-2"&amp;TEXT(MATCH(Gastos_Administrativos!G12,{"Administración";"Ventas";"Bodega";"Logística";"Gerencia"},0),"00")&amp;" "&amp;Gastos_Administrativos!G12</f>
        <v>CC-202 Ventas</v>
      </c>
      <c r="I564" s="33" t="str">
        <f ca="1">"ReteFuente "&amp;Gastos_Administrativos!C12&amp;" - "&amp;Gastos_Administrativos!A12</f>
        <v>ReteFuente Combustible vehículo de reparto - GA-2010</v>
      </c>
      <c r="J564" s="35">
        <f>0</f>
        <v>0</v>
      </c>
      <c r="K564" s="35">
        <f ca="1">Gastos_Administrativos!M12</f>
        <v>1298</v>
      </c>
      <c r="L564" s="36" t="str">
        <f>Gastos_Administrativos!A12</f>
        <v>GA-2010</v>
      </c>
    </row>
    <row r="565" spans="1:12" x14ac:dyDescent="0.35">
      <c r="A565" s="32" t="str">
        <f>"CE-GA-"&amp;TEXT(5010,"0000")</f>
        <v>CE-GA-5010</v>
      </c>
      <c r="B565" s="33" t="str">
        <f>"Causación Gasto"</f>
        <v>Causación Gasto</v>
      </c>
      <c r="C565" s="34">
        <f ca="1">Gastos_Administrativos!B12</f>
        <v>46071</v>
      </c>
      <c r="D565" s="73" t="str">
        <f>"236701"</f>
        <v>236701</v>
      </c>
      <c r="E565" s="33" t="str">
        <f>"Retención IVA - Régimen común 15%"</f>
        <v>Retención IVA - Régimen común 15%</v>
      </c>
      <c r="F565" s="33" t="str">
        <f ca="1">Gastos_Administrativos!D12</f>
        <v>TecnoSoporte Paisa S.A.S.</v>
      </c>
      <c r="G565" s="33" t="str">
        <f ca="1">Gastos_Administrativos!E12</f>
        <v>901456789-6</v>
      </c>
      <c r="H565" s="33" t="str">
        <f ca="1">"CC-2"&amp;TEXT(MATCH(Gastos_Administrativos!G12,{"Administración";"Ventas";"Bodega";"Logística";"Gerencia"},0),"00")&amp;" "&amp;Gastos_Administrativos!G12</f>
        <v>CC-202 Ventas</v>
      </c>
      <c r="I565" s="33" t="str">
        <f>"ReteIVA 15% sobre IVA factura "&amp;Gastos_Administrativos!A12</f>
        <v>ReteIVA 15% sobre IVA factura GA-2010</v>
      </c>
      <c r="J565" s="35">
        <f>0</f>
        <v>0</v>
      </c>
      <c r="K565" s="35">
        <f ca="1">Gastos_Administrativos!O12</f>
        <v>36990</v>
      </c>
      <c r="L565" s="36" t="str">
        <f>Gastos_Administrativos!A12</f>
        <v>GA-2010</v>
      </c>
    </row>
    <row r="566" spans="1:12" x14ac:dyDescent="0.35">
      <c r="A566" s="32" t="str">
        <f>"CE-GA-"&amp;TEXT(5010,"0000")</f>
        <v>CE-GA-5010</v>
      </c>
      <c r="B566" s="33" t="str">
        <f>"Causación Gasto"</f>
        <v>Causación Gasto</v>
      </c>
      <c r="C566" s="34">
        <f ca="1">Gastos_Administrativos!B12</f>
        <v>46071</v>
      </c>
      <c r="D566" s="73" t="str">
        <f>"236805"</f>
        <v>236805</v>
      </c>
      <c r="E566" s="33" t="str">
        <f>"Retención ICA - Medellín 11.04‰"</f>
        <v>Retención ICA - Medellín 11.04‰</v>
      </c>
      <c r="F566" s="33" t="str">
        <f ca="1">Gastos_Administrativos!D12</f>
        <v>TecnoSoporte Paisa S.A.S.</v>
      </c>
      <c r="G566" s="33" t="str">
        <f ca="1">Gastos_Administrativos!E12</f>
        <v>901456789-6</v>
      </c>
      <c r="H566" s="33" t="str">
        <f ca="1">"CC-2"&amp;TEXT(MATCH(Gastos_Administrativos!G12,{"Administración";"Ventas";"Bodega";"Logística";"Gerencia"},0),"00")&amp;" "&amp;Gastos_Administrativos!G12</f>
        <v>CC-202 Ventas</v>
      </c>
      <c r="I566" s="33" t="str">
        <f>"ReteICA Medellín sobre gasto "&amp;Gastos_Administrativos!A12</f>
        <v>ReteICA Medellín sobre gasto GA-2010</v>
      </c>
      <c r="J566" s="35">
        <f>0</f>
        <v>0</v>
      </c>
      <c r="K566" s="35">
        <f ca="1">Gastos_Administrativos!Q12</f>
        <v>14329</v>
      </c>
      <c r="L566" s="36" t="str">
        <f>Gastos_Administrativos!A12</f>
        <v>GA-2010</v>
      </c>
    </row>
    <row r="567" spans="1:12" x14ac:dyDescent="0.35">
      <c r="A567" s="32" t="str">
        <f>"CE-GA-"&amp;TEXT(5010,"0000")</f>
        <v>CE-GA-5010</v>
      </c>
      <c r="B567" s="33" t="str">
        <f>"Causación Gasto"</f>
        <v>Causación Gasto</v>
      </c>
      <c r="C567" s="34">
        <f ca="1">Gastos_Administrativos!B12</f>
        <v>46071</v>
      </c>
      <c r="D567" s="73" t="str">
        <f>"233525"</f>
        <v>233525</v>
      </c>
      <c r="E567" s="33" t="str">
        <f>"Costos y gastos por pagar"</f>
        <v>Costos y gastos por pagar</v>
      </c>
      <c r="F567" s="33" t="str">
        <f ca="1">Gastos_Administrativos!D12</f>
        <v>TecnoSoporte Paisa S.A.S.</v>
      </c>
      <c r="G567" s="33" t="str">
        <f ca="1">Gastos_Administrativos!E12</f>
        <v>901456789-6</v>
      </c>
      <c r="H567" s="33" t="str">
        <f ca="1">"CC-2"&amp;TEXT(MATCH(Gastos_Administrativos!G12,{"Administración";"Ventas";"Bodega";"Logística";"Gerencia"},0),"00")&amp;" "&amp;Gastos_Administrativos!G12</f>
        <v>CC-202 Ventas</v>
      </c>
      <c r="I567" s="33" t="str">
        <f ca="1">"CxP gasto - "&amp;Gastos_Administrativos!D12&amp;" - "&amp;Gastos_Administrativos!A12</f>
        <v>CxP gasto - TecnoSoporte Paisa S.A.S. - GA-2010</v>
      </c>
      <c r="J567" s="35">
        <f>0</f>
        <v>0</v>
      </c>
      <c r="K567" s="35">
        <f ca="1">Gastos_Administrativos!R12</f>
        <v>1491884</v>
      </c>
      <c r="L567" s="36" t="str">
        <f>Gastos_Administrativos!A12</f>
        <v>GA-2010</v>
      </c>
    </row>
    <row r="568" spans="1:12" x14ac:dyDescent="0.35">
      <c r="A568" s="37" t="str">
        <f>"CE-GA-"&amp;TEXT(5011,"0000")</f>
        <v>CE-GA-5011</v>
      </c>
      <c r="B568" s="38" t="str">
        <f>"Causación Gasto"</f>
        <v>Causación Gasto</v>
      </c>
      <c r="C568" s="39">
        <f ca="1">Gastos_Administrativos!B13</f>
        <v>46059</v>
      </c>
      <c r="D568" s="74" t="str">
        <f ca="1">CHOOSE(MATCH(Gastos_Administrativos!F13,{"Arrendamientos";"Servicios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513550</v>
      </c>
      <c r="E568" s="38" t="str">
        <f ca="1">CHOOSE(MATCH(Gastos_Administrativos!F13,{"Arrendamientos";"Servicios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Combustibles, peajes y transporte</v>
      </c>
      <c r="F568" s="38" t="str">
        <f ca="1">Gastos_Administrativos!D13</f>
        <v>Software Contable Siigo S.A.</v>
      </c>
      <c r="G568" s="38" t="str">
        <f ca="1">Gastos_Administrativos!E13</f>
        <v>830067335-9</v>
      </c>
      <c r="H568" s="38" t="str">
        <f ca="1">"CC-2"&amp;TEXT(MATCH(Gastos_Administrativos!G13,{"Administración";"Ventas";"Bodega";"Logística";"Gerencia"},0),"00")&amp;" "&amp;Gastos_Administrativos!G13</f>
        <v>CC-205 Gerencia</v>
      </c>
      <c r="I568" s="38" t="str">
        <f ca="1">"Causación gasto - "&amp;Gastos_Administrativos!C13&amp;" - "&amp;Gastos_Administrativos!A13</f>
        <v>Causación gasto - Peajes y parqueaderos - GA-2011</v>
      </c>
      <c r="J568" s="40">
        <f ca="1">Gastos_Administrativos!H13</f>
        <v>5524300</v>
      </c>
      <c r="K568" s="40">
        <f>0</f>
        <v>0</v>
      </c>
      <c r="L568" s="41" t="str">
        <f>Gastos_Administrativos!A13</f>
        <v>GA-2011</v>
      </c>
    </row>
    <row r="569" spans="1:12" x14ac:dyDescent="0.35">
      <c r="A569" s="37" t="str">
        <f>"CE-GA-"&amp;TEXT(5011,"0000")</f>
        <v>CE-GA-5011</v>
      </c>
      <c r="B569" s="38" t="str">
        <f>"Causación Gasto"</f>
        <v>Causación Gasto</v>
      </c>
      <c r="C569" s="39">
        <f ca="1">Gastos_Administrativos!B13</f>
        <v>46059</v>
      </c>
      <c r="D569" s="74" t="str">
        <f>"240810"</f>
        <v>240810</v>
      </c>
      <c r="E569" s="38" t="str">
        <f>"IVA descontable - servicios/compras"</f>
        <v>IVA descontable - servicios/compras</v>
      </c>
      <c r="F569" s="38" t="str">
        <f ca="1">Gastos_Administrativos!D13</f>
        <v>Software Contable Siigo S.A.</v>
      </c>
      <c r="G569" s="38" t="str">
        <f ca="1">Gastos_Administrativos!E13</f>
        <v>830067335-9</v>
      </c>
      <c r="H569" s="38" t="str">
        <f ca="1">"CC-2"&amp;TEXT(MATCH(Gastos_Administrativos!G13,{"Administración";"Ventas";"Bodega";"Logística";"Gerencia"},0),"00")&amp;" "&amp;Gastos_Administrativos!G13</f>
        <v>CC-205 Gerencia</v>
      </c>
      <c r="I569" s="38" t="str">
        <f>"IVA descontable factura "&amp;Gastos_Administrativos!A13</f>
        <v>IVA descontable factura GA-2011</v>
      </c>
      <c r="J569" s="40">
        <f ca="1">Gastos_Administrativos!J13</f>
        <v>1049617</v>
      </c>
      <c r="K569" s="40">
        <f>0</f>
        <v>0</v>
      </c>
      <c r="L569" s="41" t="str">
        <f>Gastos_Administrativos!A13</f>
        <v>GA-2011</v>
      </c>
    </row>
    <row r="570" spans="1:12" x14ac:dyDescent="0.35">
      <c r="A570" s="37" t="str">
        <f>"CE-GA-"&amp;TEXT(5011,"0000")</f>
        <v>CE-GA-5011</v>
      </c>
      <c r="B570" s="38" t="str">
        <f>"Causación Gasto"</f>
        <v>Causación Gasto</v>
      </c>
      <c r="C570" s="39">
        <f ca="1">Gastos_Administrativos!B13</f>
        <v>46059</v>
      </c>
      <c r="D570" s="74" t="str">
        <f ca="1">IF(Gastos_Administrativos!L13=0,"236540",CHOOSE(MATCH(Gastos_Administrativos!F13,{"Arrendamientos";"Servicios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570" s="38" t="str">
        <f ca="1">"ReteFuente "&amp;TEXT(Gastos_Administrativos!L13,"0.00%")&amp;" - "&amp;Gastos_Administrativos!F13</f>
        <v>ReteFuente 000% - Transporte</v>
      </c>
      <c r="F570" s="38" t="str">
        <f ca="1">Gastos_Administrativos!D13</f>
        <v>Software Contable Siigo S.A.</v>
      </c>
      <c r="G570" s="38" t="str">
        <f ca="1">Gastos_Administrativos!E13</f>
        <v>830067335-9</v>
      </c>
      <c r="H570" s="38" t="str">
        <f ca="1">"CC-2"&amp;TEXT(MATCH(Gastos_Administrativos!G13,{"Administración";"Ventas";"Bodega";"Logística";"Gerencia"},0),"00")&amp;" "&amp;Gastos_Administrativos!G13</f>
        <v>CC-205 Gerencia</v>
      </c>
      <c r="I570" s="38" t="str">
        <f ca="1">"ReteFuente "&amp;Gastos_Administrativos!C13&amp;" - "&amp;Gastos_Administrativos!A13</f>
        <v>ReteFuente Peajes y parqueaderos - GA-2011</v>
      </c>
      <c r="J570" s="40">
        <f>0</f>
        <v>0</v>
      </c>
      <c r="K570" s="40">
        <f ca="1">Gastos_Administrativos!M13</f>
        <v>0</v>
      </c>
      <c r="L570" s="41" t="str">
        <f>Gastos_Administrativos!A13</f>
        <v>GA-2011</v>
      </c>
    </row>
    <row r="571" spans="1:12" x14ac:dyDescent="0.35">
      <c r="A571" s="37" t="str">
        <f>"CE-GA-"&amp;TEXT(5011,"0000")</f>
        <v>CE-GA-5011</v>
      </c>
      <c r="B571" s="38" t="str">
        <f>"Causación Gasto"</f>
        <v>Causación Gasto</v>
      </c>
      <c r="C571" s="39">
        <f ca="1">Gastos_Administrativos!B13</f>
        <v>46059</v>
      </c>
      <c r="D571" s="74" t="str">
        <f>"236701"</f>
        <v>236701</v>
      </c>
      <c r="E571" s="38" t="str">
        <f>"Retención IVA - Régimen común 15%"</f>
        <v>Retención IVA - Régimen común 15%</v>
      </c>
      <c r="F571" s="38" t="str">
        <f ca="1">Gastos_Administrativos!D13</f>
        <v>Software Contable Siigo S.A.</v>
      </c>
      <c r="G571" s="38" t="str">
        <f ca="1">Gastos_Administrativos!E13</f>
        <v>830067335-9</v>
      </c>
      <c r="H571" s="38" t="str">
        <f ca="1">"CC-2"&amp;TEXT(MATCH(Gastos_Administrativos!G13,{"Administración";"Ventas";"Bodega";"Logística";"Gerencia"},0),"00")&amp;" "&amp;Gastos_Administrativos!G13</f>
        <v>CC-205 Gerencia</v>
      </c>
      <c r="I571" s="38" t="str">
        <f>"ReteIVA 15% sobre IVA factura "&amp;Gastos_Administrativos!A13</f>
        <v>ReteIVA 15% sobre IVA factura GA-2011</v>
      </c>
      <c r="J571" s="40">
        <f>0</f>
        <v>0</v>
      </c>
      <c r="K571" s="40">
        <f ca="1">Gastos_Administrativos!O13</f>
        <v>157443</v>
      </c>
      <c r="L571" s="41" t="str">
        <f>Gastos_Administrativos!A13</f>
        <v>GA-2011</v>
      </c>
    </row>
    <row r="572" spans="1:12" x14ac:dyDescent="0.35">
      <c r="A572" s="37" t="str">
        <f>"CE-GA-"&amp;TEXT(5011,"0000")</f>
        <v>CE-GA-5011</v>
      </c>
      <c r="B572" s="38" t="str">
        <f>"Causación Gasto"</f>
        <v>Causación Gasto</v>
      </c>
      <c r="C572" s="39">
        <f ca="1">Gastos_Administrativos!B13</f>
        <v>46059</v>
      </c>
      <c r="D572" s="74" t="str">
        <f>"236805"</f>
        <v>236805</v>
      </c>
      <c r="E572" s="38" t="str">
        <f>"Retención ICA - Medellín 11.04‰"</f>
        <v>Retención ICA - Medellín 11.04‰</v>
      </c>
      <c r="F572" s="38" t="str">
        <f ca="1">Gastos_Administrativos!D13</f>
        <v>Software Contable Siigo S.A.</v>
      </c>
      <c r="G572" s="38" t="str">
        <f ca="1">Gastos_Administrativos!E13</f>
        <v>830067335-9</v>
      </c>
      <c r="H572" s="38" t="str">
        <f ca="1">"CC-2"&amp;TEXT(MATCH(Gastos_Administrativos!G13,{"Administración";"Ventas";"Bodega";"Logística";"Gerencia"},0),"00")&amp;" "&amp;Gastos_Administrativos!G13</f>
        <v>CC-205 Gerencia</v>
      </c>
      <c r="I572" s="38" t="str">
        <f>"ReteICA Medellín sobre gasto "&amp;Gastos_Administrativos!A13</f>
        <v>ReteICA Medellín sobre gasto GA-2011</v>
      </c>
      <c r="J572" s="40">
        <f>0</f>
        <v>0</v>
      </c>
      <c r="K572" s="40">
        <f ca="1">Gastos_Administrativos!Q13</f>
        <v>60988</v>
      </c>
      <c r="L572" s="41" t="str">
        <f>Gastos_Administrativos!A13</f>
        <v>GA-2011</v>
      </c>
    </row>
    <row r="573" spans="1:12" x14ac:dyDescent="0.35">
      <c r="A573" s="37" t="str">
        <f>"CE-GA-"&amp;TEXT(5011,"0000")</f>
        <v>CE-GA-5011</v>
      </c>
      <c r="B573" s="38" t="str">
        <f>"Causación Gasto"</f>
        <v>Causación Gasto</v>
      </c>
      <c r="C573" s="39">
        <f ca="1">Gastos_Administrativos!B13</f>
        <v>46059</v>
      </c>
      <c r="D573" s="74" t="str">
        <f>"233525"</f>
        <v>233525</v>
      </c>
      <c r="E573" s="38" t="str">
        <f>"Costos y gastos por pagar"</f>
        <v>Costos y gastos por pagar</v>
      </c>
      <c r="F573" s="38" t="str">
        <f ca="1">Gastos_Administrativos!D13</f>
        <v>Software Contable Siigo S.A.</v>
      </c>
      <c r="G573" s="38" t="str">
        <f ca="1">Gastos_Administrativos!E13</f>
        <v>830067335-9</v>
      </c>
      <c r="H573" s="38" t="str">
        <f ca="1">"CC-2"&amp;TEXT(MATCH(Gastos_Administrativos!G13,{"Administración";"Ventas";"Bodega";"Logística";"Gerencia"},0),"00")&amp;" "&amp;Gastos_Administrativos!G13</f>
        <v>CC-205 Gerencia</v>
      </c>
      <c r="I573" s="38" t="str">
        <f ca="1">"CxP gasto - "&amp;Gastos_Administrativos!D13&amp;" - "&amp;Gastos_Administrativos!A13</f>
        <v>CxP gasto - Software Contable Siigo S.A. - GA-2011</v>
      </c>
      <c r="J573" s="40">
        <f>0</f>
        <v>0</v>
      </c>
      <c r="K573" s="40">
        <f ca="1">Gastos_Administrativos!R13</f>
        <v>6355486</v>
      </c>
      <c r="L573" s="41" t="str">
        <f>Gastos_Administrativos!A13</f>
        <v>GA-2011</v>
      </c>
    </row>
    <row r="574" spans="1:12" x14ac:dyDescent="0.35">
      <c r="A574" s="32" t="str">
        <f>"CE-GA-"&amp;TEXT(5012,"0000")</f>
        <v>CE-GA-5012</v>
      </c>
      <c r="B574" s="33" t="str">
        <f>"Causación Gasto"</f>
        <v>Causación Gasto</v>
      </c>
      <c r="C574" s="34">
        <f ca="1">Gastos_Administrativos!B14</f>
        <v>46106</v>
      </c>
      <c r="D574" s="73" t="str">
        <f ca="1">CHOOSE(MATCH(Gastos_Administrativos!F14,{"Arrendamientos";"Servicios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513550</v>
      </c>
      <c r="E574" s="33" t="str">
        <f ca="1">CHOOSE(MATCH(Gastos_Administrativos!F14,{"Arrendamientos";"Servicios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Combustibles, peajes y transporte</v>
      </c>
      <c r="F574" s="33" t="str">
        <f ca="1">Gastos_Administrativos!D14</f>
        <v>Tigo UNE Telecomunicaciones S.A.</v>
      </c>
      <c r="G574" s="33" t="str">
        <f ca="1">Gastos_Administrativos!E14</f>
        <v>830122566-1</v>
      </c>
      <c r="H574" s="33" t="str">
        <f ca="1">"CC-2"&amp;TEXT(MATCH(Gastos_Administrativos!G14,{"Administración";"Ventas";"Bodega";"Logística";"Gerencia"},0),"00")&amp;" "&amp;Gastos_Administrativos!G14</f>
        <v>CC-201 Administración</v>
      </c>
      <c r="I574" s="33" t="str">
        <f ca="1">"Causación gasto - "&amp;Gastos_Administrativos!C14&amp;" - "&amp;Gastos_Administrativos!A14</f>
        <v>Causación gasto - Combustible vehículo de reparto - GA-2012</v>
      </c>
      <c r="J574" s="35">
        <f ca="1">Gastos_Administrativos!H14</f>
        <v>8411300</v>
      </c>
      <c r="K574" s="35">
        <f>0</f>
        <v>0</v>
      </c>
      <c r="L574" s="36" t="str">
        <f>Gastos_Administrativos!A14</f>
        <v>GA-2012</v>
      </c>
    </row>
    <row r="575" spans="1:12" x14ac:dyDescent="0.35">
      <c r="A575" s="32" t="str">
        <f>"CE-GA-"&amp;TEXT(5012,"0000")</f>
        <v>CE-GA-5012</v>
      </c>
      <c r="B575" s="33" t="str">
        <f>"Causación Gasto"</f>
        <v>Causación Gasto</v>
      </c>
      <c r="C575" s="34">
        <f ca="1">Gastos_Administrativos!B14</f>
        <v>46106</v>
      </c>
      <c r="D575" s="73" t="str">
        <f>"240810"</f>
        <v>240810</v>
      </c>
      <c r="E575" s="33" t="str">
        <f>"IVA descontable - servicios/compras"</f>
        <v>IVA descontable - servicios/compras</v>
      </c>
      <c r="F575" s="33" t="str">
        <f ca="1">Gastos_Administrativos!D14</f>
        <v>Tigo UNE Telecomunicaciones S.A.</v>
      </c>
      <c r="G575" s="33" t="str">
        <f ca="1">Gastos_Administrativos!E14</f>
        <v>830122566-1</v>
      </c>
      <c r="H575" s="33" t="str">
        <f ca="1">"CC-2"&amp;TEXT(MATCH(Gastos_Administrativos!G14,{"Administración";"Ventas";"Bodega";"Logística";"Gerencia"},0),"00")&amp;" "&amp;Gastos_Administrativos!G14</f>
        <v>CC-201 Administración</v>
      </c>
      <c r="I575" s="33" t="str">
        <f>"IVA descontable factura "&amp;Gastos_Administrativos!A14</f>
        <v>IVA descontable factura GA-2012</v>
      </c>
      <c r="J575" s="35">
        <f ca="1">Gastos_Administrativos!J14</f>
        <v>1598147</v>
      </c>
      <c r="K575" s="35">
        <f>0</f>
        <v>0</v>
      </c>
      <c r="L575" s="36" t="str">
        <f>Gastos_Administrativos!A14</f>
        <v>GA-2012</v>
      </c>
    </row>
    <row r="576" spans="1:12" x14ac:dyDescent="0.35">
      <c r="A576" s="32" t="str">
        <f>"CE-GA-"&amp;TEXT(5012,"0000")</f>
        <v>CE-GA-5012</v>
      </c>
      <c r="B576" s="33" t="str">
        <f>"Causación Gasto"</f>
        <v>Causación Gasto</v>
      </c>
      <c r="C576" s="34">
        <f ca="1">Gastos_Administrativos!B14</f>
        <v>46106</v>
      </c>
      <c r="D576" s="73" t="str">
        <f ca="1">IF(Gastos_Administrativos!L14=0,"236540",CHOOSE(MATCH(Gastos_Administrativos!F14,{"Arrendamientos";"Servicios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236570</v>
      </c>
      <c r="E576" s="33" t="str">
        <f ca="1">"ReteFuente "&amp;TEXT(Gastos_Administrativos!L14,"0.00%")&amp;" - "&amp;Gastos_Administrativos!F14</f>
        <v>ReteFuente 000% - Transporte</v>
      </c>
      <c r="F576" s="33" t="str">
        <f ca="1">Gastos_Administrativos!D14</f>
        <v>Tigo UNE Telecomunicaciones S.A.</v>
      </c>
      <c r="G576" s="33" t="str">
        <f ca="1">Gastos_Administrativos!E14</f>
        <v>830122566-1</v>
      </c>
      <c r="H576" s="33" t="str">
        <f ca="1">"CC-2"&amp;TEXT(MATCH(Gastos_Administrativos!G14,{"Administración";"Ventas";"Bodega";"Logística";"Gerencia"},0),"00")&amp;" "&amp;Gastos_Administrativos!G14</f>
        <v>CC-201 Administración</v>
      </c>
      <c r="I576" s="33" t="str">
        <f ca="1">"ReteFuente "&amp;Gastos_Administrativos!C14&amp;" - "&amp;Gastos_Administrativos!A14</f>
        <v>ReteFuente Combustible vehículo de reparto - GA-2012</v>
      </c>
      <c r="J576" s="35">
        <f>0</f>
        <v>0</v>
      </c>
      <c r="K576" s="35">
        <f ca="1">Gastos_Administrativos!M14</f>
        <v>8411</v>
      </c>
      <c r="L576" s="36" t="str">
        <f>Gastos_Administrativos!A14</f>
        <v>GA-2012</v>
      </c>
    </row>
    <row r="577" spans="1:12" x14ac:dyDescent="0.35">
      <c r="A577" s="32" t="str">
        <f>"CE-GA-"&amp;TEXT(5012,"0000")</f>
        <v>CE-GA-5012</v>
      </c>
      <c r="B577" s="33" t="str">
        <f>"Causación Gasto"</f>
        <v>Causación Gasto</v>
      </c>
      <c r="C577" s="34">
        <f ca="1">Gastos_Administrativos!B14</f>
        <v>46106</v>
      </c>
      <c r="D577" s="73" t="str">
        <f>"236701"</f>
        <v>236701</v>
      </c>
      <c r="E577" s="33" t="str">
        <f>"Retención IVA - Régimen común 15%"</f>
        <v>Retención IVA - Régimen común 15%</v>
      </c>
      <c r="F577" s="33" t="str">
        <f ca="1">Gastos_Administrativos!D14</f>
        <v>Tigo UNE Telecomunicaciones S.A.</v>
      </c>
      <c r="G577" s="33" t="str">
        <f ca="1">Gastos_Administrativos!E14</f>
        <v>830122566-1</v>
      </c>
      <c r="H577" s="33" t="str">
        <f ca="1">"CC-2"&amp;TEXT(MATCH(Gastos_Administrativos!G14,{"Administración";"Ventas";"Bodega";"Logística";"Gerencia"},0),"00")&amp;" "&amp;Gastos_Administrativos!G14</f>
        <v>CC-201 Administración</v>
      </c>
      <c r="I577" s="33" t="str">
        <f>"ReteIVA 15% sobre IVA factura "&amp;Gastos_Administrativos!A14</f>
        <v>ReteIVA 15% sobre IVA factura GA-2012</v>
      </c>
      <c r="J577" s="35">
        <f>0</f>
        <v>0</v>
      </c>
      <c r="K577" s="35">
        <f ca="1">Gastos_Administrativos!O14</f>
        <v>239722</v>
      </c>
      <c r="L577" s="36" t="str">
        <f>Gastos_Administrativos!A14</f>
        <v>GA-2012</v>
      </c>
    </row>
    <row r="578" spans="1:12" x14ac:dyDescent="0.35">
      <c r="A578" s="32" t="str">
        <f>"CE-GA-"&amp;TEXT(5012,"0000")</f>
        <v>CE-GA-5012</v>
      </c>
      <c r="B578" s="33" t="str">
        <f>"Causación Gasto"</f>
        <v>Causación Gasto</v>
      </c>
      <c r="C578" s="34">
        <f ca="1">Gastos_Administrativos!B14</f>
        <v>46106</v>
      </c>
      <c r="D578" s="73" t="str">
        <f>"236805"</f>
        <v>236805</v>
      </c>
      <c r="E578" s="33" t="str">
        <f>"Retención ICA - Medellín 11.04‰"</f>
        <v>Retención ICA - Medellín 11.04‰</v>
      </c>
      <c r="F578" s="33" t="str">
        <f ca="1">Gastos_Administrativos!D14</f>
        <v>Tigo UNE Telecomunicaciones S.A.</v>
      </c>
      <c r="G578" s="33" t="str">
        <f ca="1">Gastos_Administrativos!E14</f>
        <v>830122566-1</v>
      </c>
      <c r="H578" s="33" t="str">
        <f ca="1">"CC-2"&amp;TEXT(MATCH(Gastos_Administrativos!G14,{"Administración";"Ventas";"Bodega";"Logística";"Gerencia"},0),"00")&amp;" "&amp;Gastos_Administrativos!G14</f>
        <v>CC-201 Administración</v>
      </c>
      <c r="I578" s="33" t="str">
        <f>"ReteICA Medellín sobre gasto "&amp;Gastos_Administrativos!A14</f>
        <v>ReteICA Medellín sobre gasto GA-2012</v>
      </c>
      <c r="J578" s="35">
        <f>0</f>
        <v>0</v>
      </c>
      <c r="K578" s="35">
        <f ca="1">Gastos_Administrativos!Q14</f>
        <v>92861</v>
      </c>
      <c r="L578" s="36" t="str">
        <f>Gastos_Administrativos!A14</f>
        <v>GA-2012</v>
      </c>
    </row>
    <row r="579" spans="1:12" x14ac:dyDescent="0.35">
      <c r="A579" s="32" t="str">
        <f>"CE-GA-"&amp;TEXT(5012,"0000")</f>
        <v>CE-GA-5012</v>
      </c>
      <c r="B579" s="33" t="str">
        <f>"Causación Gasto"</f>
        <v>Causación Gasto</v>
      </c>
      <c r="C579" s="34">
        <f ca="1">Gastos_Administrativos!B14</f>
        <v>46106</v>
      </c>
      <c r="D579" s="73" t="str">
        <f>"233525"</f>
        <v>233525</v>
      </c>
      <c r="E579" s="33" t="str">
        <f>"Costos y gastos por pagar"</f>
        <v>Costos y gastos por pagar</v>
      </c>
      <c r="F579" s="33" t="str">
        <f ca="1">Gastos_Administrativos!D14</f>
        <v>Tigo UNE Telecomunicaciones S.A.</v>
      </c>
      <c r="G579" s="33" t="str">
        <f ca="1">Gastos_Administrativos!E14</f>
        <v>830122566-1</v>
      </c>
      <c r="H579" s="33" t="str">
        <f ca="1">"CC-2"&amp;TEXT(MATCH(Gastos_Administrativos!G14,{"Administración";"Ventas";"Bodega";"Logística";"Gerencia"},0),"00")&amp;" "&amp;Gastos_Administrativos!G14</f>
        <v>CC-201 Administración</v>
      </c>
      <c r="I579" s="33" t="str">
        <f ca="1">"CxP gasto - "&amp;Gastos_Administrativos!D14&amp;" - "&amp;Gastos_Administrativos!A14</f>
        <v>CxP gasto - Tigo UNE Telecomunicaciones S.A. - GA-2012</v>
      </c>
      <c r="J579" s="35">
        <f>0</f>
        <v>0</v>
      </c>
      <c r="K579" s="35">
        <f ca="1">Gastos_Administrativos!R14</f>
        <v>9668453</v>
      </c>
      <c r="L579" s="36" t="str">
        <f>Gastos_Administrativos!A14</f>
        <v>GA-2012</v>
      </c>
    </row>
    <row r="580" spans="1:12" x14ac:dyDescent="0.35">
      <c r="A580" s="37" t="str">
        <f>"CE-GA-"&amp;TEXT(5013,"0000")</f>
        <v>CE-GA-5013</v>
      </c>
      <c r="B580" s="38" t="str">
        <f>"Causación Gasto"</f>
        <v>Causación Gasto</v>
      </c>
      <c r="C580" s="39">
        <f ca="1">Gastos_Administrativos!B15</f>
        <v>46102</v>
      </c>
      <c r="D580" s="74" t="str">
        <f ca="1">CHOOSE(MATCH(Gastos_Administrativos!F15,{"Arrendamientos";"Servicios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513525</v>
      </c>
      <c r="E580" s="38" t="str">
        <f ca="1">CHOOSE(MATCH(Gastos_Administrativos!F15,{"Arrendamientos";"Servicios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Servicios públicos</v>
      </c>
      <c r="F580" s="38" t="str">
        <f ca="1">Gastos_Administrativos!D15</f>
        <v>Imprenta Suramericana Ltda.</v>
      </c>
      <c r="G580" s="38" t="str">
        <f ca="1">Gastos_Administrativos!E15</f>
        <v>890345678-2</v>
      </c>
      <c r="H580" s="38" t="str">
        <f ca="1">"CC-2"&amp;TEXT(MATCH(Gastos_Administrativos!G15,{"Administración";"Ventas";"Bodega";"Logística";"Gerencia"},0),"00")&amp;" "&amp;Gastos_Administrativos!G15</f>
        <v>CC-204 Logística</v>
      </c>
      <c r="I580" s="38" t="str">
        <f ca="1">"Causación gasto - "&amp;Gastos_Administrativos!C15&amp;" - "&amp;Gastos_Administrativos!A15</f>
        <v>Causación gasto - Servicio de gas natural - GA-2013</v>
      </c>
      <c r="J580" s="40">
        <f ca="1">Gastos_Administrativos!H15</f>
        <v>2225000</v>
      </c>
      <c r="K580" s="40">
        <f>0</f>
        <v>0</v>
      </c>
      <c r="L580" s="41" t="str">
        <f>Gastos_Administrativos!A15</f>
        <v>GA-2013</v>
      </c>
    </row>
    <row r="581" spans="1:12" x14ac:dyDescent="0.35">
      <c r="A581" s="37" t="str">
        <f>"CE-GA-"&amp;TEXT(5013,"0000")</f>
        <v>CE-GA-5013</v>
      </c>
      <c r="B581" s="38" t="str">
        <f>"Causación Gasto"</f>
        <v>Causación Gasto</v>
      </c>
      <c r="C581" s="39">
        <f ca="1">Gastos_Administrativos!B15</f>
        <v>46102</v>
      </c>
      <c r="D581" s="74" t="str">
        <f>"240810"</f>
        <v>240810</v>
      </c>
      <c r="E581" s="38" t="str">
        <f>"IVA descontable - servicios/compras"</f>
        <v>IVA descontable - servicios/compras</v>
      </c>
      <c r="F581" s="38" t="str">
        <f ca="1">Gastos_Administrativos!D15</f>
        <v>Imprenta Suramericana Ltda.</v>
      </c>
      <c r="G581" s="38" t="str">
        <f ca="1">Gastos_Administrativos!E15</f>
        <v>890345678-2</v>
      </c>
      <c r="H581" s="38" t="str">
        <f ca="1">"CC-2"&amp;TEXT(MATCH(Gastos_Administrativos!G15,{"Administración";"Ventas";"Bodega";"Logística";"Gerencia"},0),"00")&amp;" "&amp;Gastos_Administrativos!G15</f>
        <v>CC-204 Logística</v>
      </c>
      <c r="I581" s="38" t="str">
        <f>"IVA descontable factura "&amp;Gastos_Administrativos!A15</f>
        <v>IVA descontable factura GA-2013</v>
      </c>
      <c r="J581" s="40">
        <f ca="1">Gastos_Administrativos!J15</f>
        <v>0</v>
      </c>
      <c r="K581" s="40">
        <f>0</f>
        <v>0</v>
      </c>
      <c r="L581" s="41" t="str">
        <f>Gastos_Administrativos!A15</f>
        <v>GA-2013</v>
      </c>
    </row>
    <row r="582" spans="1:12" x14ac:dyDescent="0.35">
      <c r="A582" s="37" t="str">
        <f>"CE-GA-"&amp;TEXT(5013,"0000")</f>
        <v>CE-GA-5013</v>
      </c>
      <c r="B582" s="38" t="str">
        <f>"Causación Gasto"</f>
        <v>Causación Gasto</v>
      </c>
      <c r="C582" s="39">
        <f ca="1">Gastos_Administrativos!B15</f>
        <v>46102</v>
      </c>
      <c r="D582" s="74" t="str">
        <f ca="1">IF(Gastos_Administrativos!L15=0,"236540",CHOOSE(MATCH(Gastos_Administrativos!F15,{"Arrendamientos";"Servicios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582" s="38" t="str">
        <f ca="1">"ReteFuente "&amp;TEXT(Gastos_Administrativos!L15,"0.00%")&amp;" - "&amp;Gastos_Administrativos!F15</f>
        <v>ReteFuente 000% - Servicios Públicos</v>
      </c>
      <c r="F582" s="38" t="str">
        <f ca="1">Gastos_Administrativos!D15</f>
        <v>Imprenta Suramericana Ltda.</v>
      </c>
      <c r="G582" s="38" t="str">
        <f ca="1">Gastos_Administrativos!E15</f>
        <v>890345678-2</v>
      </c>
      <c r="H582" s="38" t="str">
        <f ca="1">"CC-2"&amp;TEXT(MATCH(Gastos_Administrativos!G15,{"Administración";"Ventas";"Bodega";"Logística";"Gerencia"},0),"00")&amp;" "&amp;Gastos_Administrativos!G15</f>
        <v>CC-204 Logística</v>
      </c>
      <c r="I582" s="38" t="str">
        <f ca="1">"ReteFuente "&amp;Gastos_Administrativos!C15&amp;" - "&amp;Gastos_Administrativos!A15</f>
        <v>ReteFuente Servicio de gas natural - GA-2013</v>
      </c>
      <c r="J582" s="40">
        <f>0</f>
        <v>0</v>
      </c>
      <c r="K582" s="40">
        <f ca="1">Gastos_Administrativos!M15</f>
        <v>0</v>
      </c>
      <c r="L582" s="41" t="str">
        <f>Gastos_Administrativos!A15</f>
        <v>GA-2013</v>
      </c>
    </row>
    <row r="583" spans="1:12" x14ac:dyDescent="0.35">
      <c r="A583" s="37" t="str">
        <f>"CE-GA-"&amp;TEXT(5013,"0000")</f>
        <v>CE-GA-5013</v>
      </c>
      <c r="B583" s="38" t="str">
        <f>"Causación Gasto"</f>
        <v>Causación Gasto</v>
      </c>
      <c r="C583" s="39">
        <f ca="1">Gastos_Administrativos!B15</f>
        <v>46102</v>
      </c>
      <c r="D583" s="74" t="str">
        <f>"236701"</f>
        <v>236701</v>
      </c>
      <c r="E583" s="38" t="str">
        <f>"Retención IVA - Régimen común 15%"</f>
        <v>Retención IVA - Régimen común 15%</v>
      </c>
      <c r="F583" s="38" t="str">
        <f ca="1">Gastos_Administrativos!D15</f>
        <v>Imprenta Suramericana Ltda.</v>
      </c>
      <c r="G583" s="38" t="str">
        <f ca="1">Gastos_Administrativos!E15</f>
        <v>890345678-2</v>
      </c>
      <c r="H583" s="38" t="str">
        <f ca="1">"CC-2"&amp;TEXT(MATCH(Gastos_Administrativos!G15,{"Administración";"Ventas";"Bodega";"Logística";"Gerencia"},0),"00")&amp;" "&amp;Gastos_Administrativos!G15</f>
        <v>CC-204 Logística</v>
      </c>
      <c r="I583" s="38" t="str">
        <f>"ReteIVA 15% sobre IVA factura "&amp;Gastos_Administrativos!A15</f>
        <v>ReteIVA 15% sobre IVA factura GA-2013</v>
      </c>
      <c r="J583" s="40">
        <f>0</f>
        <v>0</v>
      </c>
      <c r="K583" s="40">
        <f ca="1">Gastos_Administrativos!O15</f>
        <v>0</v>
      </c>
      <c r="L583" s="41" t="str">
        <f>Gastos_Administrativos!A15</f>
        <v>GA-2013</v>
      </c>
    </row>
    <row r="584" spans="1:12" x14ac:dyDescent="0.35">
      <c r="A584" s="37" t="str">
        <f>"CE-GA-"&amp;TEXT(5013,"0000")</f>
        <v>CE-GA-5013</v>
      </c>
      <c r="B584" s="38" t="str">
        <f>"Causación Gasto"</f>
        <v>Causación Gasto</v>
      </c>
      <c r="C584" s="39">
        <f ca="1">Gastos_Administrativos!B15</f>
        <v>46102</v>
      </c>
      <c r="D584" s="74" t="str">
        <f>"236805"</f>
        <v>236805</v>
      </c>
      <c r="E584" s="38" t="str">
        <f>"Retención ICA - Medellín 11.04‰"</f>
        <v>Retención ICA - Medellín 11.04‰</v>
      </c>
      <c r="F584" s="38" t="str">
        <f ca="1">Gastos_Administrativos!D15</f>
        <v>Imprenta Suramericana Ltda.</v>
      </c>
      <c r="G584" s="38" t="str">
        <f ca="1">Gastos_Administrativos!E15</f>
        <v>890345678-2</v>
      </c>
      <c r="H584" s="38" t="str">
        <f ca="1">"CC-2"&amp;TEXT(MATCH(Gastos_Administrativos!G15,{"Administración";"Ventas";"Bodega";"Logística";"Gerencia"},0),"00")&amp;" "&amp;Gastos_Administrativos!G15</f>
        <v>CC-204 Logística</v>
      </c>
      <c r="I584" s="38" t="str">
        <f>"ReteICA Medellín sobre gasto "&amp;Gastos_Administrativos!A15</f>
        <v>ReteICA Medellín sobre gasto GA-2013</v>
      </c>
      <c r="J584" s="40">
        <f>0</f>
        <v>0</v>
      </c>
      <c r="K584" s="40">
        <f ca="1">Gastos_Administrativos!Q15</f>
        <v>24564</v>
      </c>
      <c r="L584" s="41" t="str">
        <f>Gastos_Administrativos!A15</f>
        <v>GA-2013</v>
      </c>
    </row>
    <row r="585" spans="1:12" x14ac:dyDescent="0.35">
      <c r="A585" s="37" t="str">
        <f>"CE-GA-"&amp;TEXT(5013,"0000")</f>
        <v>CE-GA-5013</v>
      </c>
      <c r="B585" s="38" t="str">
        <f>"Causación Gasto"</f>
        <v>Causación Gasto</v>
      </c>
      <c r="C585" s="39">
        <f ca="1">Gastos_Administrativos!B15</f>
        <v>46102</v>
      </c>
      <c r="D585" s="74" t="str">
        <f>"233525"</f>
        <v>233525</v>
      </c>
      <c r="E585" s="38" t="str">
        <f>"Costos y gastos por pagar"</f>
        <v>Costos y gastos por pagar</v>
      </c>
      <c r="F585" s="38" t="str">
        <f ca="1">Gastos_Administrativos!D15</f>
        <v>Imprenta Suramericana Ltda.</v>
      </c>
      <c r="G585" s="38" t="str">
        <f ca="1">Gastos_Administrativos!E15</f>
        <v>890345678-2</v>
      </c>
      <c r="H585" s="38" t="str">
        <f ca="1">"CC-2"&amp;TEXT(MATCH(Gastos_Administrativos!G15,{"Administración";"Ventas";"Bodega";"Logística";"Gerencia"},0),"00")&amp;" "&amp;Gastos_Administrativos!G15</f>
        <v>CC-204 Logística</v>
      </c>
      <c r="I585" s="38" t="str">
        <f ca="1">"CxP gasto - "&amp;Gastos_Administrativos!D15&amp;" - "&amp;Gastos_Administrativos!A15</f>
        <v>CxP gasto - Imprenta Suramericana Ltda. - GA-2013</v>
      </c>
      <c r="J585" s="40">
        <f>0</f>
        <v>0</v>
      </c>
      <c r="K585" s="40">
        <f ca="1">Gastos_Administrativos!R15</f>
        <v>2200436</v>
      </c>
      <c r="L585" s="41" t="str">
        <f>Gastos_Administrativos!A15</f>
        <v>GA-2013</v>
      </c>
    </row>
    <row r="586" spans="1:12" x14ac:dyDescent="0.35">
      <c r="A586" s="32" t="str">
        <f>"CE-GA-"&amp;TEXT(5014,"0000")</f>
        <v>CE-GA-5014</v>
      </c>
      <c r="B586" s="33" t="str">
        <f>"Causación Gasto"</f>
        <v>Causación Gasto</v>
      </c>
      <c r="C586" s="34">
        <f ca="1">Gastos_Administrativos!B16</f>
        <v>46129</v>
      </c>
      <c r="D586" s="73" t="str">
        <f ca="1">CHOOSE(MATCH(Gastos_Administrativos!F16,{"Arrendamientos";"Servicios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513525</v>
      </c>
      <c r="E586" s="33" t="str">
        <f ca="1">CHOOSE(MATCH(Gastos_Administrativos!F16,{"Arrendamientos";"Servicios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Servicios públicos</v>
      </c>
      <c r="F586" s="33" t="str">
        <f ca="1">Gastos_Administrativos!D16</f>
        <v>Servientrega S.A.</v>
      </c>
      <c r="G586" s="33" t="str">
        <f ca="1">Gastos_Administrativos!E16</f>
        <v>860512330-3</v>
      </c>
      <c r="H586" s="33" t="str">
        <f ca="1">"CC-2"&amp;TEXT(MATCH(Gastos_Administrativos!G16,{"Administración";"Ventas";"Bodega";"Logística";"Gerencia"},0),"00")&amp;" "&amp;Gastos_Administrativos!G16</f>
        <v>CC-201 Administración</v>
      </c>
      <c r="I586" s="33" t="str">
        <f ca="1">"Causación gasto - "&amp;Gastos_Administrativos!C16&amp;" - "&amp;Gastos_Administrativos!A16</f>
        <v>Causación gasto - Servicio de internet y telefonía - GA-2014</v>
      </c>
      <c r="J586" s="35">
        <f ca="1">Gastos_Administrativos!H16</f>
        <v>6301100</v>
      </c>
      <c r="K586" s="35">
        <f>0</f>
        <v>0</v>
      </c>
      <c r="L586" s="36" t="str">
        <f>Gastos_Administrativos!A16</f>
        <v>GA-2014</v>
      </c>
    </row>
    <row r="587" spans="1:12" x14ac:dyDescent="0.35">
      <c r="A587" s="32" t="str">
        <f>"CE-GA-"&amp;TEXT(5014,"0000")</f>
        <v>CE-GA-5014</v>
      </c>
      <c r="B587" s="33" t="str">
        <f>"Causación Gasto"</f>
        <v>Causación Gasto</v>
      </c>
      <c r="C587" s="34">
        <f ca="1">Gastos_Administrativos!B16</f>
        <v>46129</v>
      </c>
      <c r="D587" s="73" t="str">
        <f>"240810"</f>
        <v>240810</v>
      </c>
      <c r="E587" s="33" t="str">
        <f>"IVA descontable - servicios/compras"</f>
        <v>IVA descontable - servicios/compras</v>
      </c>
      <c r="F587" s="33" t="str">
        <f ca="1">Gastos_Administrativos!D16</f>
        <v>Servientrega S.A.</v>
      </c>
      <c r="G587" s="33" t="str">
        <f ca="1">Gastos_Administrativos!E16</f>
        <v>860512330-3</v>
      </c>
      <c r="H587" s="33" t="str">
        <f ca="1">"CC-2"&amp;TEXT(MATCH(Gastos_Administrativos!G16,{"Administración";"Ventas";"Bodega";"Logística";"Gerencia"},0),"00")&amp;" "&amp;Gastos_Administrativos!G16</f>
        <v>CC-201 Administración</v>
      </c>
      <c r="I587" s="33" t="str">
        <f>"IVA descontable factura "&amp;Gastos_Administrativos!A16</f>
        <v>IVA descontable factura GA-2014</v>
      </c>
      <c r="J587" s="35">
        <f ca="1">Gastos_Administrativos!J16</f>
        <v>0</v>
      </c>
      <c r="K587" s="35">
        <f>0</f>
        <v>0</v>
      </c>
      <c r="L587" s="36" t="str">
        <f>Gastos_Administrativos!A16</f>
        <v>GA-2014</v>
      </c>
    </row>
    <row r="588" spans="1:12" x14ac:dyDescent="0.35">
      <c r="A588" s="32" t="str">
        <f>"CE-GA-"&amp;TEXT(5014,"0000")</f>
        <v>CE-GA-5014</v>
      </c>
      <c r="B588" s="33" t="str">
        <f>"Causación Gasto"</f>
        <v>Causación Gasto</v>
      </c>
      <c r="C588" s="34">
        <f ca="1">Gastos_Administrativos!B16</f>
        <v>46129</v>
      </c>
      <c r="D588" s="73" t="str">
        <f ca="1">IF(Gastos_Administrativos!L16=0,"236540",CHOOSE(MATCH(Gastos_Administrativos!F16,{"Arrendamientos";"Servicios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588" s="33" t="str">
        <f ca="1">"ReteFuente "&amp;TEXT(Gastos_Administrativos!L16,"0.00%")&amp;" - "&amp;Gastos_Administrativos!F16</f>
        <v>ReteFuente 004% - Servicios Públicos</v>
      </c>
      <c r="F588" s="33" t="str">
        <f ca="1">Gastos_Administrativos!D16</f>
        <v>Servientrega S.A.</v>
      </c>
      <c r="G588" s="33" t="str">
        <f ca="1">Gastos_Administrativos!E16</f>
        <v>860512330-3</v>
      </c>
      <c r="H588" s="33" t="str">
        <f ca="1">"CC-2"&amp;TEXT(MATCH(Gastos_Administrativos!G16,{"Administración";"Ventas";"Bodega";"Logística";"Gerencia"},0),"00")&amp;" "&amp;Gastos_Administrativos!G16</f>
        <v>CC-201 Administración</v>
      </c>
      <c r="I588" s="33" t="str">
        <f ca="1">"ReteFuente "&amp;Gastos_Administrativos!C16&amp;" - "&amp;Gastos_Administrativos!A16</f>
        <v>ReteFuente Servicio de internet y telefonía - GA-2014</v>
      </c>
      <c r="J588" s="35">
        <f>0</f>
        <v>0</v>
      </c>
      <c r="K588" s="35">
        <f ca="1">Gastos_Administrativos!M16</f>
        <v>252044</v>
      </c>
      <c r="L588" s="36" t="str">
        <f>Gastos_Administrativos!A16</f>
        <v>GA-2014</v>
      </c>
    </row>
    <row r="589" spans="1:12" x14ac:dyDescent="0.35">
      <c r="A589" s="32" t="str">
        <f>"CE-GA-"&amp;TEXT(5014,"0000")</f>
        <v>CE-GA-5014</v>
      </c>
      <c r="B589" s="33" t="str">
        <f>"Causación Gasto"</f>
        <v>Causación Gasto</v>
      </c>
      <c r="C589" s="34">
        <f ca="1">Gastos_Administrativos!B16</f>
        <v>46129</v>
      </c>
      <c r="D589" s="73" t="str">
        <f>"236701"</f>
        <v>236701</v>
      </c>
      <c r="E589" s="33" t="str">
        <f>"Retención IVA - Régimen común 15%"</f>
        <v>Retención IVA - Régimen común 15%</v>
      </c>
      <c r="F589" s="33" t="str">
        <f ca="1">Gastos_Administrativos!D16</f>
        <v>Servientrega S.A.</v>
      </c>
      <c r="G589" s="33" t="str">
        <f ca="1">Gastos_Administrativos!E16</f>
        <v>860512330-3</v>
      </c>
      <c r="H589" s="33" t="str">
        <f ca="1">"CC-2"&amp;TEXT(MATCH(Gastos_Administrativos!G16,{"Administración";"Ventas";"Bodega";"Logística";"Gerencia"},0),"00")&amp;" "&amp;Gastos_Administrativos!G16</f>
        <v>CC-201 Administración</v>
      </c>
      <c r="I589" s="33" t="str">
        <f>"ReteIVA 15% sobre IVA factura "&amp;Gastos_Administrativos!A16</f>
        <v>ReteIVA 15% sobre IVA factura GA-2014</v>
      </c>
      <c r="J589" s="35">
        <f>0</f>
        <v>0</v>
      </c>
      <c r="K589" s="35">
        <f ca="1">Gastos_Administrativos!O16</f>
        <v>0</v>
      </c>
      <c r="L589" s="36" t="str">
        <f>Gastos_Administrativos!A16</f>
        <v>GA-2014</v>
      </c>
    </row>
    <row r="590" spans="1:12" x14ac:dyDescent="0.35">
      <c r="A590" s="32" t="str">
        <f>"CE-GA-"&amp;TEXT(5014,"0000")</f>
        <v>CE-GA-5014</v>
      </c>
      <c r="B590" s="33" t="str">
        <f>"Causación Gasto"</f>
        <v>Causación Gasto</v>
      </c>
      <c r="C590" s="34">
        <f ca="1">Gastos_Administrativos!B16</f>
        <v>46129</v>
      </c>
      <c r="D590" s="73" t="str">
        <f>"236805"</f>
        <v>236805</v>
      </c>
      <c r="E590" s="33" t="str">
        <f>"Retención ICA - Medellín 11.04‰"</f>
        <v>Retención ICA - Medellín 11.04‰</v>
      </c>
      <c r="F590" s="33" t="str">
        <f ca="1">Gastos_Administrativos!D16</f>
        <v>Servientrega S.A.</v>
      </c>
      <c r="G590" s="33" t="str">
        <f ca="1">Gastos_Administrativos!E16</f>
        <v>860512330-3</v>
      </c>
      <c r="H590" s="33" t="str">
        <f ca="1">"CC-2"&amp;TEXT(MATCH(Gastos_Administrativos!G16,{"Administración";"Ventas";"Bodega";"Logística";"Gerencia"},0),"00")&amp;" "&amp;Gastos_Administrativos!G16</f>
        <v>CC-201 Administración</v>
      </c>
      <c r="I590" s="33" t="str">
        <f>"ReteICA Medellín sobre gasto "&amp;Gastos_Administrativos!A16</f>
        <v>ReteICA Medellín sobre gasto GA-2014</v>
      </c>
      <c r="J590" s="35">
        <f>0</f>
        <v>0</v>
      </c>
      <c r="K590" s="35">
        <f ca="1">Gastos_Administrativos!Q16</f>
        <v>69564</v>
      </c>
      <c r="L590" s="36" t="str">
        <f>Gastos_Administrativos!A16</f>
        <v>GA-2014</v>
      </c>
    </row>
    <row r="591" spans="1:12" x14ac:dyDescent="0.35">
      <c r="A591" s="32" t="str">
        <f>"CE-GA-"&amp;TEXT(5014,"0000")</f>
        <v>CE-GA-5014</v>
      </c>
      <c r="B591" s="33" t="str">
        <f>"Causación Gasto"</f>
        <v>Causación Gasto</v>
      </c>
      <c r="C591" s="34">
        <f ca="1">Gastos_Administrativos!B16</f>
        <v>46129</v>
      </c>
      <c r="D591" s="73" t="str">
        <f>"233525"</f>
        <v>233525</v>
      </c>
      <c r="E591" s="33" t="str">
        <f>"Costos y gastos por pagar"</f>
        <v>Costos y gastos por pagar</v>
      </c>
      <c r="F591" s="33" t="str">
        <f ca="1">Gastos_Administrativos!D16</f>
        <v>Servientrega S.A.</v>
      </c>
      <c r="G591" s="33" t="str">
        <f ca="1">Gastos_Administrativos!E16</f>
        <v>860512330-3</v>
      </c>
      <c r="H591" s="33" t="str">
        <f ca="1">"CC-2"&amp;TEXT(MATCH(Gastos_Administrativos!G16,{"Administración";"Ventas";"Bodega";"Logística";"Gerencia"},0),"00")&amp;" "&amp;Gastos_Administrativos!G16</f>
        <v>CC-201 Administración</v>
      </c>
      <c r="I591" s="33" t="str">
        <f ca="1">"CxP gasto - "&amp;Gastos_Administrativos!D16&amp;" - "&amp;Gastos_Administrativos!A16</f>
        <v>CxP gasto - Servientrega S.A. - GA-2014</v>
      </c>
      <c r="J591" s="35">
        <f>0</f>
        <v>0</v>
      </c>
      <c r="K591" s="35">
        <f ca="1">Gastos_Administrativos!R16</f>
        <v>5979492</v>
      </c>
      <c r="L591" s="36" t="str">
        <f>Gastos_Administrativos!A16</f>
        <v>GA-2014</v>
      </c>
    </row>
    <row r="592" spans="1:12" x14ac:dyDescent="0.35">
      <c r="A592" s="37" t="str">
        <f>"CE-GA-"&amp;TEXT(5015,"0000")</f>
        <v>CE-GA-5015</v>
      </c>
      <c r="B592" s="38" t="str">
        <f>"Causación Gasto"</f>
        <v>Causación Gasto</v>
      </c>
      <c r="C592" s="39">
        <f ca="1">Gastos_Administrativos!B17</f>
        <v>46120</v>
      </c>
      <c r="D592" s="74" t="str">
        <f ca="1">CHOOSE(MATCH(Gastos_Administrativos!F17,{"Arrendamientos";"Servicios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519525</v>
      </c>
      <c r="E592" s="38" t="str">
        <f ca="1">CHOOSE(MATCH(Gastos_Administrativos!F17,{"Arrendamientos";"Servicios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Útiles, papelería y fotocopias</v>
      </c>
      <c r="F592" s="38" t="str">
        <f ca="1">Gastos_Administrativos!D17</f>
        <v>Tigo UNE Telecomunicaciones S.A.</v>
      </c>
      <c r="G592" s="38" t="str">
        <f ca="1">Gastos_Administrativos!E17</f>
        <v>830122566-1</v>
      </c>
      <c r="H592" s="38" t="str">
        <f ca="1">"CC-2"&amp;TEXT(MATCH(Gastos_Administrativos!G17,{"Administración";"Ventas";"Bodega";"Logística";"Gerencia"},0),"00")&amp;" "&amp;Gastos_Administrativos!G17</f>
        <v>CC-202 Ventas</v>
      </c>
      <c r="I592" s="38" t="str">
        <f ca="1">"Causación gasto - "&amp;Gastos_Administrativos!C17&amp;" - "&amp;Gastos_Administrativos!A17</f>
        <v>Causación gasto - Tóner y suministros de impresora - GA-2015</v>
      </c>
      <c r="J592" s="40">
        <f ca="1">Gastos_Administrativos!H17</f>
        <v>7543900</v>
      </c>
      <c r="K592" s="40">
        <f>0</f>
        <v>0</v>
      </c>
      <c r="L592" s="41" t="str">
        <f>Gastos_Administrativos!A17</f>
        <v>GA-2015</v>
      </c>
    </row>
    <row r="593" spans="1:12" x14ac:dyDescent="0.35">
      <c r="A593" s="37" t="str">
        <f>"CE-GA-"&amp;TEXT(5015,"0000")</f>
        <v>CE-GA-5015</v>
      </c>
      <c r="B593" s="38" t="str">
        <f>"Causación Gasto"</f>
        <v>Causación Gasto</v>
      </c>
      <c r="C593" s="39">
        <f ca="1">Gastos_Administrativos!B17</f>
        <v>46120</v>
      </c>
      <c r="D593" s="74" t="str">
        <f>"240810"</f>
        <v>240810</v>
      </c>
      <c r="E593" s="38" t="str">
        <f>"IVA descontable - servicios/compras"</f>
        <v>IVA descontable - servicios/compras</v>
      </c>
      <c r="F593" s="38" t="str">
        <f ca="1">Gastos_Administrativos!D17</f>
        <v>Tigo UNE Telecomunicaciones S.A.</v>
      </c>
      <c r="G593" s="38" t="str">
        <f ca="1">Gastos_Administrativos!E17</f>
        <v>830122566-1</v>
      </c>
      <c r="H593" s="38" t="str">
        <f ca="1">"CC-2"&amp;TEXT(MATCH(Gastos_Administrativos!G17,{"Administración";"Ventas";"Bodega";"Logística";"Gerencia"},0),"00")&amp;" "&amp;Gastos_Administrativos!G17</f>
        <v>CC-202 Ventas</v>
      </c>
      <c r="I593" s="38" t="str">
        <f>"IVA descontable factura "&amp;Gastos_Administrativos!A17</f>
        <v>IVA descontable factura GA-2015</v>
      </c>
      <c r="J593" s="40">
        <f ca="1">Gastos_Administrativos!J17</f>
        <v>1433341</v>
      </c>
      <c r="K593" s="40">
        <f>0</f>
        <v>0</v>
      </c>
      <c r="L593" s="41" t="str">
        <f>Gastos_Administrativos!A17</f>
        <v>GA-2015</v>
      </c>
    </row>
    <row r="594" spans="1:12" x14ac:dyDescent="0.35">
      <c r="A594" s="37" t="str">
        <f>"CE-GA-"&amp;TEXT(5015,"0000")</f>
        <v>CE-GA-5015</v>
      </c>
      <c r="B594" s="38" t="str">
        <f>"Causación Gasto"</f>
        <v>Causación Gasto</v>
      </c>
      <c r="C594" s="39">
        <f ca="1">Gastos_Administrativos!B17</f>
        <v>46120</v>
      </c>
      <c r="D594" s="74" t="str">
        <f ca="1">IF(Gastos_Administrativos!L17=0,"236540",CHOOSE(MATCH(Gastos_Administrativos!F17,{"Arrendamientos";"Servicios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594" s="38" t="str">
        <f ca="1">"ReteFuente "&amp;TEXT(Gastos_Administrativos!L17,"0.00%")&amp;" - "&amp;Gastos_Administrativos!F17</f>
        <v>ReteFuente 003% - Suministros</v>
      </c>
      <c r="F594" s="38" t="str">
        <f ca="1">Gastos_Administrativos!D17</f>
        <v>Tigo UNE Telecomunicaciones S.A.</v>
      </c>
      <c r="G594" s="38" t="str">
        <f ca="1">Gastos_Administrativos!E17</f>
        <v>830122566-1</v>
      </c>
      <c r="H594" s="38" t="str">
        <f ca="1">"CC-2"&amp;TEXT(MATCH(Gastos_Administrativos!G17,{"Administración";"Ventas";"Bodega";"Logística";"Gerencia"},0),"00")&amp;" "&amp;Gastos_Administrativos!G17</f>
        <v>CC-202 Ventas</v>
      </c>
      <c r="I594" s="38" t="str">
        <f ca="1">"ReteFuente "&amp;Gastos_Administrativos!C17&amp;" - "&amp;Gastos_Administrativos!A17</f>
        <v>ReteFuente Tóner y suministros de impresora - GA-2015</v>
      </c>
      <c r="J594" s="40">
        <f>0</f>
        <v>0</v>
      </c>
      <c r="K594" s="40">
        <f ca="1">Gastos_Administrativos!M17</f>
        <v>188598</v>
      </c>
      <c r="L594" s="41" t="str">
        <f>Gastos_Administrativos!A17</f>
        <v>GA-2015</v>
      </c>
    </row>
    <row r="595" spans="1:12" x14ac:dyDescent="0.35">
      <c r="A595" s="37" t="str">
        <f>"CE-GA-"&amp;TEXT(5015,"0000")</f>
        <v>CE-GA-5015</v>
      </c>
      <c r="B595" s="38" t="str">
        <f>"Causación Gasto"</f>
        <v>Causación Gasto</v>
      </c>
      <c r="C595" s="39">
        <f ca="1">Gastos_Administrativos!B17</f>
        <v>46120</v>
      </c>
      <c r="D595" s="74" t="str">
        <f>"236701"</f>
        <v>236701</v>
      </c>
      <c r="E595" s="38" t="str">
        <f>"Retención IVA - Régimen común 15%"</f>
        <v>Retención IVA - Régimen común 15%</v>
      </c>
      <c r="F595" s="38" t="str">
        <f ca="1">Gastos_Administrativos!D17</f>
        <v>Tigo UNE Telecomunicaciones S.A.</v>
      </c>
      <c r="G595" s="38" t="str">
        <f ca="1">Gastos_Administrativos!E17</f>
        <v>830122566-1</v>
      </c>
      <c r="H595" s="38" t="str">
        <f ca="1">"CC-2"&amp;TEXT(MATCH(Gastos_Administrativos!G17,{"Administración";"Ventas";"Bodega";"Logística";"Gerencia"},0),"00")&amp;" "&amp;Gastos_Administrativos!G17</f>
        <v>CC-202 Ventas</v>
      </c>
      <c r="I595" s="38" t="str">
        <f>"ReteIVA 15% sobre IVA factura "&amp;Gastos_Administrativos!A17</f>
        <v>ReteIVA 15% sobre IVA factura GA-2015</v>
      </c>
      <c r="J595" s="40">
        <f>0</f>
        <v>0</v>
      </c>
      <c r="K595" s="40">
        <f ca="1">Gastos_Administrativos!O17</f>
        <v>215001</v>
      </c>
      <c r="L595" s="41" t="str">
        <f>Gastos_Administrativos!A17</f>
        <v>GA-2015</v>
      </c>
    </row>
    <row r="596" spans="1:12" x14ac:dyDescent="0.35">
      <c r="A596" s="37" t="str">
        <f>"CE-GA-"&amp;TEXT(5015,"0000")</f>
        <v>CE-GA-5015</v>
      </c>
      <c r="B596" s="38" t="str">
        <f>"Causación Gasto"</f>
        <v>Causación Gasto</v>
      </c>
      <c r="C596" s="39">
        <f ca="1">Gastos_Administrativos!B17</f>
        <v>46120</v>
      </c>
      <c r="D596" s="74" t="str">
        <f>"236805"</f>
        <v>236805</v>
      </c>
      <c r="E596" s="38" t="str">
        <f>"Retención ICA - Medellín 11.04‰"</f>
        <v>Retención ICA - Medellín 11.04‰</v>
      </c>
      <c r="F596" s="38" t="str">
        <f ca="1">Gastos_Administrativos!D17</f>
        <v>Tigo UNE Telecomunicaciones S.A.</v>
      </c>
      <c r="G596" s="38" t="str">
        <f ca="1">Gastos_Administrativos!E17</f>
        <v>830122566-1</v>
      </c>
      <c r="H596" s="38" t="str">
        <f ca="1">"CC-2"&amp;TEXT(MATCH(Gastos_Administrativos!G17,{"Administración";"Ventas";"Bodega";"Logística";"Gerencia"},0),"00")&amp;" "&amp;Gastos_Administrativos!G17</f>
        <v>CC-202 Ventas</v>
      </c>
      <c r="I596" s="38" t="str">
        <f>"ReteICA Medellín sobre gasto "&amp;Gastos_Administrativos!A17</f>
        <v>ReteICA Medellín sobre gasto GA-2015</v>
      </c>
      <c r="J596" s="40">
        <f>0</f>
        <v>0</v>
      </c>
      <c r="K596" s="40">
        <f ca="1">Gastos_Administrativos!Q17</f>
        <v>83285</v>
      </c>
      <c r="L596" s="41" t="str">
        <f>Gastos_Administrativos!A17</f>
        <v>GA-2015</v>
      </c>
    </row>
    <row r="597" spans="1:12" x14ac:dyDescent="0.35">
      <c r="A597" s="37" t="str">
        <f>"CE-GA-"&amp;TEXT(5015,"0000")</f>
        <v>CE-GA-5015</v>
      </c>
      <c r="B597" s="38" t="str">
        <f>"Causación Gasto"</f>
        <v>Causación Gasto</v>
      </c>
      <c r="C597" s="39">
        <f ca="1">Gastos_Administrativos!B17</f>
        <v>46120</v>
      </c>
      <c r="D597" s="74" t="str">
        <f>"233525"</f>
        <v>233525</v>
      </c>
      <c r="E597" s="38" t="str">
        <f>"Costos y gastos por pagar"</f>
        <v>Costos y gastos por pagar</v>
      </c>
      <c r="F597" s="38" t="str">
        <f ca="1">Gastos_Administrativos!D17</f>
        <v>Tigo UNE Telecomunicaciones S.A.</v>
      </c>
      <c r="G597" s="38" t="str">
        <f ca="1">Gastos_Administrativos!E17</f>
        <v>830122566-1</v>
      </c>
      <c r="H597" s="38" t="str">
        <f ca="1">"CC-2"&amp;TEXT(MATCH(Gastos_Administrativos!G17,{"Administración";"Ventas";"Bodega";"Logística";"Gerencia"},0),"00")&amp;" "&amp;Gastos_Administrativos!G17</f>
        <v>CC-202 Ventas</v>
      </c>
      <c r="I597" s="38" t="str">
        <f ca="1">"CxP gasto - "&amp;Gastos_Administrativos!D17&amp;" - "&amp;Gastos_Administrativos!A17</f>
        <v>CxP gasto - Tigo UNE Telecomunicaciones S.A. - GA-2015</v>
      </c>
      <c r="J597" s="40">
        <f>0</f>
        <v>0</v>
      </c>
      <c r="K597" s="40">
        <f ca="1">Gastos_Administrativos!R17</f>
        <v>8490357</v>
      </c>
      <c r="L597" s="41" t="str">
        <f>Gastos_Administrativos!A17</f>
        <v>GA-2015</v>
      </c>
    </row>
    <row r="598" spans="1:12" x14ac:dyDescent="0.35">
      <c r="A598" s="32" t="str">
        <f>"CE-GA-"&amp;TEXT(5016,"0000")</f>
        <v>CE-GA-5016</v>
      </c>
      <c r="B598" s="33" t="str">
        <f>"Causación Gasto"</f>
        <v>Causación Gasto</v>
      </c>
      <c r="C598" s="34">
        <f ca="1">Gastos_Administrativos!B18</f>
        <v>46124</v>
      </c>
      <c r="D598" s="73" t="str">
        <f ca="1">CHOOSE(MATCH(Gastos_Administrativos!F18,{"Arrendamientos";"Servicios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513025</v>
      </c>
      <c r="E598" s="33" t="str">
        <f ca="1">CHOOSE(MATCH(Gastos_Administrativos!F18,{"Arrendamientos";"Servicios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Seguros</v>
      </c>
      <c r="F598" s="33" t="str">
        <f ca="1">Gastos_Administrativos!D18</f>
        <v>EPM - Empresas Públicas de Medellín</v>
      </c>
      <c r="G598" s="33" t="str">
        <f ca="1">Gastos_Administrativos!E18</f>
        <v>890904996-1</v>
      </c>
      <c r="H598" s="33" t="str">
        <f ca="1">"CC-2"&amp;TEXT(MATCH(Gastos_Administrativos!G18,{"Administración";"Ventas";"Bodega";"Logística";"Gerencia"},0),"00")&amp;" "&amp;Gastos_Administrativos!G18</f>
        <v>CC-202 Ventas</v>
      </c>
      <c r="I598" s="33" t="str">
        <f ca="1">"Causación gasto - "&amp;Gastos_Administrativos!C18&amp;" - "&amp;Gastos_Administrativos!A18</f>
        <v>Causación gasto - Pólizas de seguros comerciales - GA-2016</v>
      </c>
      <c r="J598" s="35">
        <f ca="1">Gastos_Administrativos!H18</f>
        <v>3512200</v>
      </c>
      <c r="K598" s="35">
        <f>0</f>
        <v>0</v>
      </c>
      <c r="L598" s="36" t="str">
        <f>Gastos_Administrativos!A18</f>
        <v>GA-2016</v>
      </c>
    </row>
    <row r="599" spans="1:12" x14ac:dyDescent="0.35">
      <c r="A599" s="32" t="str">
        <f>"CE-GA-"&amp;TEXT(5016,"0000")</f>
        <v>CE-GA-5016</v>
      </c>
      <c r="B599" s="33" t="str">
        <f>"Causación Gasto"</f>
        <v>Causación Gasto</v>
      </c>
      <c r="C599" s="34">
        <f ca="1">Gastos_Administrativos!B18</f>
        <v>46124</v>
      </c>
      <c r="D599" s="73" t="str">
        <f>"240810"</f>
        <v>240810</v>
      </c>
      <c r="E599" s="33" t="str">
        <f>"IVA descontable - servicios/compras"</f>
        <v>IVA descontable - servicios/compras</v>
      </c>
      <c r="F599" s="33" t="str">
        <f ca="1">Gastos_Administrativos!D18</f>
        <v>EPM - Empresas Públicas de Medellín</v>
      </c>
      <c r="G599" s="33" t="str">
        <f ca="1">Gastos_Administrativos!E18</f>
        <v>890904996-1</v>
      </c>
      <c r="H599" s="33" t="str">
        <f ca="1">"CC-2"&amp;TEXT(MATCH(Gastos_Administrativos!G18,{"Administración";"Ventas";"Bodega";"Logística";"Gerencia"},0),"00")&amp;" "&amp;Gastos_Administrativos!G18</f>
        <v>CC-202 Ventas</v>
      </c>
      <c r="I599" s="33" t="str">
        <f>"IVA descontable factura "&amp;Gastos_Administrativos!A18</f>
        <v>IVA descontable factura GA-2016</v>
      </c>
      <c r="J599" s="35">
        <f ca="1">Gastos_Administrativos!J18</f>
        <v>0</v>
      </c>
      <c r="K599" s="35">
        <f>0</f>
        <v>0</v>
      </c>
      <c r="L599" s="36" t="str">
        <f>Gastos_Administrativos!A18</f>
        <v>GA-2016</v>
      </c>
    </row>
    <row r="600" spans="1:12" x14ac:dyDescent="0.35">
      <c r="A600" s="32" t="str">
        <f>"CE-GA-"&amp;TEXT(5016,"0000")</f>
        <v>CE-GA-5016</v>
      </c>
      <c r="B600" s="33" t="str">
        <f>"Causación Gasto"</f>
        <v>Causación Gasto</v>
      </c>
      <c r="C600" s="34">
        <f ca="1">Gastos_Administrativos!B18</f>
        <v>46124</v>
      </c>
      <c r="D600" s="73" t="str">
        <f ca="1">IF(Gastos_Administrativos!L18=0,"236540",CHOOSE(MATCH(Gastos_Administrativos!F18,{"Arrendamientos";"Servicios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236535</v>
      </c>
      <c r="E600" s="33" t="str">
        <f ca="1">"ReteFuente "&amp;TEXT(Gastos_Administrativos!L18,"0.00%")&amp;" - "&amp;Gastos_Administrativos!F18</f>
        <v>ReteFuente 002% - Seguros</v>
      </c>
      <c r="F600" s="33" t="str">
        <f ca="1">Gastos_Administrativos!D18</f>
        <v>EPM - Empresas Públicas de Medellín</v>
      </c>
      <c r="G600" s="33" t="str">
        <f ca="1">Gastos_Administrativos!E18</f>
        <v>890904996-1</v>
      </c>
      <c r="H600" s="33" t="str">
        <f ca="1">"CC-2"&amp;TEXT(MATCH(Gastos_Administrativos!G18,{"Administración";"Ventas";"Bodega";"Logística";"Gerencia"},0),"00")&amp;" "&amp;Gastos_Administrativos!G18</f>
        <v>CC-202 Ventas</v>
      </c>
      <c r="I600" s="33" t="str">
        <f ca="1">"ReteFuente "&amp;Gastos_Administrativos!C18&amp;" - "&amp;Gastos_Administrativos!A18</f>
        <v>ReteFuente Pólizas de seguros comerciales - GA-2016</v>
      </c>
      <c r="J600" s="35">
        <f>0</f>
        <v>0</v>
      </c>
      <c r="K600" s="35">
        <f ca="1">Gastos_Administrativos!M18</f>
        <v>84293</v>
      </c>
      <c r="L600" s="36" t="str">
        <f>Gastos_Administrativos!A18</f>
        <v>GA-2016</v>
      </c>
    </row>
    <row r="601" spans="1:12" x14ac:dyDescent="0.35">
      <c r="A601" s="32" t="str">
        <f>"CE-GA-"&amp;TEXT(5016,"0000")</f>
        <v>CE-GA-5016</v>
      </c>
      <c r="B601" s="33" t="str">
        <f>"Causación Gasto"</f>
        <v>Causación Gasto</v>
      </c>
      <c r="C601" s="34">
        <f ca="1">Gastos_Administrativos!B18</f>
        <v>46124</v>
      </c>
      <c r="D601" s="73" t="str">
        <f>"236701"</f>
        <v>236701</v>
      </c>
      <c r="E601" s="33" t="str">
        <f>"Retención IVA - Régimen común 15%"</f>
        <v>Retención IVA - Régimen común 15%</v>
      </c>
      <c r="F601" s="33" t="str">
        <f ca="1">Gastos_Administrativos!D18</f>
        <v>EPM - Empresas Públicas de Medellín</v>
      </c>
      <c r="G601" s="33" t="str">
        <f ca="1">Gastos_Administrativos!E18</f>
        <v>890904996-1</v>
      </c>
      <c r="H601" s="33" t="str">
        <f ca="1">"CC-2"&amp;TEXT(MATCH(Gastos_Administrativos!G18,{"Administración";"Ventas";"Bodega";"Logística";"Gerencia"},0),"00")&amp;" "&amp;Gastos_Administrativos!G18</f>
        <v>CC-202 Ventas</v>
      </c>
      <c r="I601" s="33" t="str">
        <f>"ReteIVA 15% sobre IVA factura "&amp;Gastos_Administrativos!A18</f>
        <v>ReteIVA 15% sobre IVA factura GA-2016</v>
      </c>
      <c r="J601" s="35">
        <f>0</f>
        <v>0</v>
      </c>
      <c r="K601" s="35">
        <f ca="1">Gastos_Administrativos!O18</f>
        <v>0</v>
      </c>
      <c r="L601" s="36" t="str">
        <f>Gastos_Administrativos!A18</f>
        <v>GA-2016</v>
      </c>
    </row>
    <row r="602" spans="1:12" x14ac:dyDescent="0.35">
      <c r="A602" s="32" t="str">
        <f>"CE-GA-"&amp;TEXT(5016,"0000")</f>
        <v>CE-GA-5016</v>
      </c>
      <c r="B602" s="33" t="str">
        <f>"Causación Gasto"</f>
        <v>Causación Gasto</v>
      </c>
      <c r="C602" s="34">
        <f ca="1">Gastos_Administrativos!B18</f>
        <v>46124</v>
      </c>
      <c r="D602" s="73" t="str">
        <f>"236805"</f>
        <v>236805</v>
      </c>
      <c r="E602" s="33" t="str">
        <f>"Retención ICA - Medellín 11.04‰"</f>
        <v>Retención ICA - Medellín 11.04‰</v>
      </c>
      <c r="F602" s="33" t="str">
        <f ca="1">Gastos_Administrativos!D18</f>
        <v>EPM - Empresas Públicas de Medellín</v>
      </c>
      <c r="G602" s="33" t="str">
        <f ca="1">Gastos_Administrativos!E18</f>
        <v>890904996-1</v>
      </c>
      <c r="H602" s="33" t="str">
        <f ca="1">"CC-2"&amp;TEXT(MATCH(Gastos_Administrativos!G18,{"Administración";"Ventas";"Bodega";"Logística";"Gerencia"},0),"00")&amp;" "&amp;Gastos_Administrativos!G18</f>
        <v>CC-202 Ventas</v>
      </c>
      <c r="I602" s="33" t="str">
        <f>"ReteICA Medellín sobre gasto "&amp;Gastos_Administrativos!A18</f>
        <v>ReteICA Medellín sobre gasto GA-2016</v>
      </c>
      <c r="J602" s="35">
        <f>0</f>
        <v>0</v>
      </c>
      <c r="K602" s="35">
        <f ca="1">Gastos_Administrativos!Q18</f>
        <v>38775</v>
      </c>
      <c r="L602" s="36" t="str">
        <f>Gastos_Administrativos!A18</f>
        <v>GA-2016</v>
      </c>
    </row>
    <row r="603" spans="1:12" x14ac:dyDescent="0.35">
      <c r="A603" s="32" t="str">
        <f>"CE-GA-"&amp;TEXT(5016,"0000")</f>
        <v>CE-GA-5016</v>
      </c>
      <c r="B603" s="33" t="str">
        <f>"Causación Gasto"</f>
        <v>Causación Gasto</v>
      </c>
      <c r="C603" s="34">
        <f ca="1">Gastos_Administrativos!B18</f>
        <v>46124</v>
      </c>
      <c r="D603" s="73" t="str">
        <f>"233525"</f>
        <v>233525</v>
      </c>
      <c r="E603" s="33" t="str">
        <f>"Costos y gastos por pagar"</f>
        <v>Costos y gastos por pagar</v>
      </c>
      <c r="F603" s="33" t="str">
        <f ca="1">Gastos_Administrativos!D18</f>
        <v>EPM - Empresas Públicas de Medellín</v>
      </c>
      <c r="G603" s="33" t="str">
        <f ca="1">Gastos_Administrativos!E18</f>
        <v>890904996-1</v>
      </c>
      <c r="H603" s="33" t="str">
        <f ca="1">"CC-2"&amp;TEXT(MATCH(Gastos_Administrativos!G18,{"Administración";"Ventas";"Bodega";"Logística";"Gerencia"},0),"00")&amp;" "&amp;Gastos_Administrativos!G18</f>
        <v>CC-202 Ventas</v>
      </c>
      <c r="I603" s="33" t="str">
        <f ca="1">"CxP gasto - "&amp;Gastos_Administrativos!D18&amp;" - "&amp;Gastos_Administrativos!A18</f>
        <v>CxP gasto - EPM - Empresas Públicas de Medellín - GA-2016</v>
      </c>
      <c r="J603" s="35">
        <f>0</f>
        <v>0</v>
      </c>
      <c r="K603" s="35">
        <f ca="1">Gastos_Administrativos!R18</f>
        <v>3389132</v>
      </c>
      <c r="L603" s="36" t="str">
        <f>Gastos_Administrativos!A18</f>
        <v>GA-2016</v>
      </c>
    </row>
    <row r="604" spans="1:12" x14ac:dyDescent="0.35">
      <c r="A604" s="37" t="str">
        <f>"CE-GA-"&amp;TEXT(5017,"0000")</f>
        <v>CE-GA-5017</v>
      </c>
      <c r="B604" s="38" t="str">
        <f>"Causación Gasto"</f>
        <v>Causación Gasto</v>
      </c>
      <c r="C604" s="39">
        <f ca="1">Gastos_Administrativos!B19</f>
        <v>46097</v>
      </c>
      <c r="D604" s="74" t="str">
        <f ca="1">CHOOSE(MATCH(Gastos_Administrativos!F19,{"Arrendamientos";"Servicios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514515</v>
      </c>
      <c r="E604" s="38" t="str">
        <f ca="1">CHOOSE(MATCH(Gastos_Administrativos!F19,{"Arrendamientos";"Servicios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Sistematización</v>
      </c>
      <c r="F604" s="38" t="str">
        <f ca="1">Gastos_Administrativos!D19</f>
        <v>Distribuidora Café Aburrá Ltda.</v>
      </c>
      <c r="G604" s="38" t="str">
        <f ca="1">Gastos_Administrativos!E19</f>
        <v>901890123-7</v>
      </c>
      <c r="H604" s="38" t="str">
        <f ca="1">"CC-2"&amp;TEXT(MATCH(Gastos_Administrativos!G19,{"Administración";"Ventas";"Bodega";"Logística";"Gerencia"},0),"00")&amp;" "&amp;Gastos_Administrativos!G19</f>
        <v>CC-203 Bodega</v>
      </c>
      <c r="I604" s="38" t="str">
        <f ca="1">"Causación gasto - "&amp;Gastos_Administrativos!C19&amp;" - "&amp;Gastos_Administrativos!A19</f>
        <v>Causación gasto - Plataforma facturación electrónica - GA-2017</v>
      </c>
      <c r="J604" s="40">
        <f ca="1">Gastos_Administrativos!H19</f>
        <v>7836100</v>
      </c>
      <c r="K604" s="40">
        <f>0</f>
        <v>0</v>
      </c>
      <c r="L604" s="41" t="str">
        <f>Gastos_Administrativos!A19</f>
        <v>GA-2017</v>
      </c>
    </row>
    <row r="605" spans="1:12" x14ac:dyDescent="0.35">
      <c r="A605" s="37" t="str">
        <f>"CE-GA-"&amp;TEXT(5017,"0000")</f>
        <v>CE-GA-5017</v>
      </c>
      <c r="B605" s="38" t="str">
        <f>"Causación Gasto"</f>
        <v>Causación Gasto</v>
      </c>
      <c r="C605" s="39">
        <f ca="1">Gastos_Administrativos!B19</f>
        <v>46097</v>
      </c>
      <c r="D605" s="74" t="str">
        <f>"240810"</f>
        <v>240810</v>
      </c>
      <c r="E605" s="38" t="str">
        <f>"IVA descontable - servicios/compras"</f>
        <v>IVA descontable - servicios/compras</v>
      </c>
      <c r="F605" s="38" t="str">
        <f ca="1">Gastos_Administrativos!D19</f>
        <v>Distribuidora Café Aburrá Ltda.</v>
      </c>
      <c r="G605" s="38" t="str">
        <f ca="1">Gastos_Administrativos!E19</f>
        <v>901890123-7</v>
      </c>
      <c r="H605" s="38" t="str">
        <f ca="1">"CC-2"&amp;TEXT(MATCH(Gastos_Administrativos!G19,{"Administración";"Ventas";"Bodega";"Logística";"Gerencia"},0),"00")&amp;" "&amp;Gastos_Administrativos!G19</f>
        <v>CC-203 Bodega</v>
      </c>
      <c r="I605" s="38" t="str">
        <f>"IVA descontable factura "&amp;Gastos_Administrativos!A19</f>
        <v>IVA descontable factura GA-2017</v>
      </c>
      <c r="J605" s="40">
        <f ca="1">Gastos_Administrativos!J19</f>
        <v>1488859</v>
      </c>
      <c r="K605" s="40">
        <f>0</f>
        <v>0</v>
      </c>
      <c r="L605" s="41" t="str">
        <f>Gastos_Administrativos!A19</f>
        <v>GA-2017</v>
      </c>
    </row>
    <row r="606" spans="1:12" x14ac:dyDescent="0.35">
      <c r="A606" s="37" t="str">
        <f>"CE-GA-"&amp;TEXT(5017,"0000")</f>
        <v>CE-GA-5017</v>
      </c>
      <c r="B606" s="38" t="str">
        <f>"Causación Gasto"</f>
        <v>Causación Gasto</v>
      </c>
      <c r="C606" s="39">
        <f ca="1">Gastos_Administrativos!B19</f>
        <v>46097</v>
      </c>
      <c r="D606" s="74" t="str">
        <f ca="1">IF(Gastos_Administrativos!L19=0,"236540",CHOOSE(MATCH(Gastos_Administrativos!F19,{"Arrendamientos";"Servicios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236525</v>
      </c>
      <c r="E606" s="38" t="str">
        <f ca="1">"ReteFuente "&amp;TEXT(Gastos_Administrativos!L19,"0.00%")&amp;" - "&amp;Gastos_Administrativos!F19</f>
        <v>ReteFuente 004% - Tecnología</v>
      </c>
      <c r="F606" s="38" t="str">
        <f ca="1">Gastos_Administrativos!D19</f>
        <v>Distribuidora Café Aburrá Ltda.</v>
      </c>
      <c r="G606" s="38" t="str">
        <f ca="1">Gastos_Administrativos!E19</f>
        <v>901890123-7</v>
      </c>
      <c r="H606" s="38" t="str">
        <f ca="1">"CC-2"&amp;TEXT(MATCH(Gastos_Administrativos!G19,{"Administración";"Ventas";"Bodega";"Logística";"Gerencia"},0),"00")&amp;" "&amp;Gastos_Administrativos!G19</f>
        <v>CC-203 Bodega</v>
      </c>
      <c r="I606" s="38" t="str">
        <f ca="1">"ReteFuente "&amp;Gastos_Administrativos!C19&amp;" - "&amp;Gastos_Administrativos!A19</f>
        <v>ReteFuente Plataforma facturación electrónica - GA-2017</v>
      </c>
      <c r="J606" s="40">
        <f>0</f>
        <v>0</v>
      </c>
      <c r="K606" s="40">
        <f ca="1">Gastos_Administrativos!M19</f>
        <v>274264</v>
      </c>
      <c r="L606" s="41" t="str">
        <f>Gastos_Administrativos!A19</f>
        <v>GA-2017</v>
      </c>
    </row>
    <row r="607" spans="1:12" x14ac:dyDescent="0.35">
      <c r="A607" s="37" t="str">
        <f>"CE-GA-"&amp;TEXT(5017,"0000")</f>
        <v>CE-GA-5017</v>
      </c>
      <c r="B607" s="38" t="str">
        <f>"Causación Gasto"</f>
        <v>Causación Gasto</v>
      </c>
      <c r="C607" s="39">
        <f ca="1">Gastos_Administrativos!B19</f>
        <v>46097</v>
      </c>
      <c r="D607" s="74" t="str">
        <f>"236701"</f>
        <v>236701</v>
      </c>
      <c r="E607" s="38" t="str">
        <f>"Retención IVA - Régimen común 15%"</f>
        <v>Retención IVA - Régimen común 15%</v>
      </c>
      <c r="F607" s="38" t="str">
        <f ca="1">Gastos_Administrativos!D19</f>
        <v>Distribuidora Café Aburrá Ltda.</v>
      </c>
      <c r="G607" s="38" t="str">
        <f ca="1">Gastos_Administrativos!E19</f>
        <v>901890123-7</v>
      </c>
      <c r="H607" s="38" t="str">
        <f ca="1">"CC-2"&amp;TEXT(MATCH(Gastos_Administrativos!G19,{"Administración";"Ventas";"Bodega";"Logística";"Gerencia"},0),"00")&amp;" "&amp;Gastos_Administrativos!G19</f>
        <v>CC-203 Bodega</v>
      </c>
      <c r="I607" s="38" t="str">
        <f>"ReteIVA 15% sobre IVA factura "&amp;Gastos_Administrativos!A19</f>
        <v>ReteIVA 15% sobre IVA factura GA-2017</v>
      </c>
      <c r="J607" s="40">
        <f>0</f>
        <v>0</v>
      </c>
      <c r="K607" s="40">
        <f ca="1">Gastos_Administrativos!O19</f>
        <v>223329</v>
      </c>
      <c r="L607" s="41" t="str">
        <f>Gastos_Administrativos!A19</f>
        <v>GA-2017</v>
      </c>
    </row>
    <row r="608" spans="1:12" x14ac:dyDescent="0.35">
      <c r="A608" s="37" t="str">
        <f>"CE-GA-"&amp;TEXT(5017,"0000")</f>
        <v>CE-GA-5017</v>
      </c>
      <c r="B608" s="38" t="str">
        <f>"Causación Gasto"</f>
        <v>Causación Gasto</v>
      </c>
      <c r="C608" s="39">
        <f ca="1">Gastos_Administrativos!B19</f>
        <v>46097</v>
      </c>
      <c r="D608" s="74" t="str">
        <f>"236805"</f>
        <v>236805</v>
      </c>
      <c r="E608" s="38" t="str">
        <f>"Retención ICA - Medellín 11.04‰"</f>
        <v>Retención ICA - Medellín 11.04‰</v>
      </c>
      <c r="F608" s="38" t="str">
        <f ca="1">Gastos_Administrativos!D19</f>
        <v>Distribuidora Café Aburrá Ltda.</v>
      </c>
      <c r="G608" s="38" t="str">
        <f ca="1">Gastos_Administrativos!E19</f>
        <v>901890123-7</v>
      </c>
      <c r="H608" s="38" t="str">
        <f ca="1">"CC-2"&amp;TEXT(MATCH(Gastos_Administrativos!G19,{"Administración";"Ventas";"Bodega";"Logística";"Gerencia"},0),"00")&amp;" "&amp;Gastos_Administrativos!G19</f>
        <v>CC-203 Bodega</v>
      </c>
      <c r="I608" s="38" t="str">
        <f>"ReteICA Medellín sobre gasto "&amp;Gastos_Administrativos!A19</f>
        <v>ReteICA Medellín sobre gasto GA-2017</v>
      </c>
      <c r="J608" s="40">
        <f>0</f>
        <v>0</v>
      </c>
      <c r="K608" s="40">
        <f ca="1">Gastos_Administrativos!Q19</f>
        <v>86511</v>
      </c>
      <c r="L608" s="41" t="str">
        <f>Gastos_Administrativos!A19</f>
        <v>GA-2017</v>
      </c>
    </row>
    <row r="609" spans="1:12" x14ac:dyDescent="0.35">
      <c r="A609" s="37" t="str">
        <f>"CE-GA-"&amp;TEXT(5017,"0000")</f>
        <v>CE-GA-5017</v>
      </c>
      <c r="B609" s="38" t="str">
        <f>"Causación Gasto"</f>
        <v>Causación Gasto</v>
      </c>
      <c r="C609" s="39">
        <f ca="1">Gastos_Administrativos!B19</f>
        <v>46097</v>
      </c>
      <c r="D609" s="74" t="str">
        <f>"233525"</f>
        <v>233525</v>
      </c>
      <c r="E609" s="38" t="str">
        <f>"Costos y gastos por pagar"</f>
        <v>Costos y gastos por pagar</v>
      </c>
      <c r="F609" s="38" t="str">
        <f ca="1">Gastos_Administrativos!D19</f>
        <v>Distribuidora Café Aburrá Ltda.</v>
      </c>
      <c r="G609" s="38" t="str">
        <f ca="1">Gastos_Administrativos!E19</f>
        <v>901890123-7</v>
      </c>
      <c r="H609" s="38" t="str">
        <f ca="1">"CC-2"&amp;TEXT(MATCH(Gastos_Administrativos!G19,{"Administración";"Ventas";"Bodega";"Logística";"Gerencia"},0),"00")&amp;" "&amp;Gastos_Administrativos!G19</f>
        <v>CC-203 Bodega</v>
      </c>
      <c r="I609" s="38" t="str">
        <f ca="1">"CxP gasto - "&amp;Gastos_Administrativos!D19&amp;" - "&amp;Gastos_Administrativos!A19</f>
        <v>CxP gasto - Distribuidora Café Aburrá Ltda. - GA-2017</v>
      </c>
      <c r="J609" s="40">
        <f>0</f>
        <v>0</v>
      </c>
      <c r="K609" s="40">
        <f ca="1">Gastos_Administrativos!R19</f>
        <v>8740855</v>
      </c>
      <c r="L609" s="41" t="str">
        <f>Gastos_Administrativos!A19</f>
        <v>GA-2017</v>
      </c>
    </row>
    <row r="610" spans="1:12" x14ac:dyDescent="0.35">
      <c r="A610" s="32" t="str">
        <f>"CE-GA-"&amp;TEXT(5018,"0000")</f>
        <v>CE-GA-5018</v>
      </c>
      <c r="B610" s="33" t="str">
        <f>"Causación Gasto"</f>
        <v>Causación Gasto</v>
      </c>
      <c r="C610" s="34">
        <f ca="1">Gastos_Administrativos!B20</f>
        <v>46067</v>
      </c>
      <c r="D610" s="73" t="str">
        <f ca="1">CHOOSE(MATCH(Gastos_Administrativos!F20,{"Arrendamientos";"Servicios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510585</v>
      </c>
      <c r="E610" s="33" t="str">
        <f ca="1">CHOOSE(MATCH(Gastos_Administrativos!F20,{"Arrendamientos";"Servicios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Capacitación al personal</v>
      </c>
      <c r="F610" s="33" t="str">
        <f ca="1">Gastos_Administrativos!D20</f>
        <v>Cámara de Comercio de Medellín</v>
      </c>
      <c r="G610" s="33" t="str">
        <f ca="1">Gastos_Administrativos!E20</f>
        <v>890900672-1</v>
      </c>
      <c r="H610" s="33" t="str">
        <f ca="1">"CC-2"&amp;TEXT(MATCH(Gastos_Administrativos!G20,{"Administración";"Ventas";"Bodega";"Logística";"Gerencia"},0),"00")&amp;" "&amp;Gastos_Administrativos!G20</f>
        <v>CC-201 Administración</v>
      </c>
      <c r="I610" s="33" t="str">
        <f ca="1">"Causación gasto - "&amp;Gastos_Administrativos!C20&amp;" - "&amp;Gastos_Administrativos!A20</f>
        <v>Causación gasto - Capacitación personal en SST - GA-2018</v>
      </c>
      <c r="J610" s="35">
        <f ca="1">Gastos_Administrativos!H20</f>
        <v>1649700</v>
      </c>
      <c r="K610" s="35">
        <f>0</f>
        <v>0</v>
      </c>
      <c r="L610" s="36" t="str">
        <f>Gastos_Administrativos!A20</f>
        <v>GA-2018</v>
      </c>
    </row>
    <row r="611" spans="1:12" x14ac:dyDescent="0.35">
      <c r="A611" s="32" t="str">
        <f>"CE-GA-"&amp;TEXT(5018,"0000")</f>
        <v>CE-GA-5018</v>
      </c>
      <c r="B611" s="33" t="str">
        <f>"Causación Gasto"</f>
        <v>Causación Gasto</v>
      </c>
      <c r="C611" s="34">
        <f ca="1">Gastos_Administrativos!B20</f>
        <v>46067</v>
      </c>
      <c r="D611" s="73" t="str">
        <f>"240810"</f>
        <v>240810</v>
      </c>
      <c r="E611" s="33" t="str">
        <f>"IVA descontable - servicios/compras"</f>
        <v>IVA descontable - servicios/compras</v>
      </c>
      <c r="F611" s="33" t="str">
        <f ca="1">Gastos_Administrativos!D20</f>
        <v>Cámara de Comercio de Medellín</v>
      </c>
      <c r="G611" s="33" t="str">
        <f ca="1">Gastos_Administrativos!E20</f>
        <v>890900672-1</v>
      </c>
      <c r="H611" s="33" t="str">
        <f ca="1">"CC-2"&amp;TEXT(MATCH(Gastos_Administrativos!G20,{"Administración";"Ventas";"Bodega";"Logística";"Gerencia"},0),"00")&amp;" "&amp;Gastos_Administrativos!G20</f>
        <v>CC-201 Administración</v>
      </c>
      <c r="I611" s="33" t="str">
        <f>"IVA descontable factura "&amp;Gastos_Administrativos!A20</f>
        <v>IVA descontable factura GA-2018</v>
      </c>
      <c r="J611" s="35">
        <f ca="1">Gastos_Administrativos!J20</f>
        <v>313443</v>
      </c>
      <c r="K611" s="35">
        <f>0</f>
        <v>0</v>
      </c>
      <c r="L611" s="36" t="str">
        <f>Gastos_Administrativos!A20</f>
        <v>GA-2018</v>
      </c>
    </row>
    <row r="612" spans="1:12" x14ac:dyDescent="0.35">
      <c r="A612" s="32" t="str">
        <f>"CE-GA-"&amp;TEXT(5018,"0000")</f>
        <v>CE-GA-5018</v>
      </c>
      <c r="B612" s="33" t="str">
        <f>"Causación Gasto"</f>
        <v>Causación Gasto</v>
      </c>
      <c r="C612" s="34">
        <f ca="1">Gastos_Administrativos!B20</f>
        <v>46067</v>
      </c>
      <c r="D612" s="73" t="str">
        <f ca="1">IF(Gastos_Administrativos!L20=0,"236540",CHOOSE(MATCH(Gastos_Administrativos!F20,{"Arrendamientos";"Servicios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236515</v>
      </c>
      <c r="E612" s="33" t="str">
        <f ca="1">"ReteFuente "&amp;TEXT(Gastos_Administrativos!L20,"0.00%")&amp;" - "&amp;Gastos_Administrativos!F20</f>
        <v>ReteFuente 011% - Capacitación</v>
      </c>
      <c r="F612" s="33" t="str">
        <f ca="1">Gastos_Administrativos!D20</f>
        <v>Cámara de Comercio de Medellín</v>
      </c>
      <c r="G612" s="33" t="str">
        <f ca="1">Gastos_Administrativos!E20</f>
        <v>890900672-1</v>
      </c>
      <c r="H612" s="33" t="str">
        <f ca="1">"CC-2"&amp;TEXT(MATCH(Gastos_Administrativos!G20,{"Administración";"Ventas";"Bodega";"Logística";"Gerencia"},0),"00")&amp;" "&amp;Gastos_Administrativos!G20</f>
        <v>CC-201 Administración</v>
      </c>
      <c r="I612" s="33" t="str">
        <f ca="1">"ReteFuente "&amp;Gastos_Administrativos!C20&amp;" - "&amp;Gastos_Administrativos!A20</f>
        <v>ReteFuente Capacitación personal en SST - GA-2018</v>
      </c>
      <c r="J612" s="35">
        <f>0</f>
        <v>0</v>
      </c>
      <c r="K612" s="35">
        <f ca="1">Gastos_Administrativos!M20</f>
        <v>181467</v>
      </c>
      <c r="L612" s="36" t="str">
        <f>Gastos_Administrativos!A20</f>
        <v>GA-2018</v>
      </c>
    </row>
    <row r="613" spans="1:12" x14ac:dyDescent="0.35">
      <c r="A613" s="32" t="str">
        <f>"CE-GA-"&amp;TEXT(5018,"0000")</f>
        <v>CE-GA-5018</v>
      </c>
      <c r="B613" s="33" t="str">
        <f>"Causación Gasto"</f>
        <v>Causación Gasto</v>
      </c>
      <c r="C613" s="34">
        <f ca="1">Gastos_Administrativos!B20</f>
        <v>46067</v>
      </c>
      <c r="D613" s="73" t="str">
        <f>"236701"</f>
        <v>236701</v>
      </c>
      <c r="E613" s="33" t="str">
        <f>"Retención IVA - Régimen común 15%"</f>
        <v>Retención IVA - Régimen común 15%</v>
      </c>
      <c r="F613" s="33" t="str">
        <f ca="1">Gastos_Administrativos!D20</f>
        <v>Cámara de Comercio de Medellín</v>
      </c>
      <c r="G613" s="33" t="str">
        <f ca="1">Gastos_Administrativos!E20</f>
        <v>890900672-1</v>
      </c>
      <c r="H613" s="33" t="str">
        <f ca="1">"CC-2"&amp;TEXT(MATCH(Gastos_Administrativos!G20,{"Administración";"Ventas";"Bodega";"Logística";"Gerencia"},0),"00")&amp;" "&amp;Gastos_Administrativos!G20</f>
        <v>CC-201 Administración</v>
      </c>
      <c r="I613" s="33" t="str">
        <f>"ReteIVA 15% sobre IVA factura "&amp;Gastos_Administrativos!A20</f>
        <v>ReteIVA 15% sobre IVA factura GA-2018</v>
      </c>
      <c r="J613" s="35">
        <f>0</f>
        <v>0</v>
      </c>
      <c r="K613" s="35">
        <f ca="1">Gastos_Administrativos!O20</f>
        <v>47016</v>
      </c>
      <c r="L613" s="36" t="str">
        <f>Gastos_Administrativos!A20</f>
        <v>GA-2018</v>
      </c>
    </row>
    <row r="614" spans="1:12" x14ac:dyDescent="0.35">
      <c r="A614" s="32" t="str">
        <f>"CE-GA-"&amp;TEXT(5018,"0000")</f>
        <v>CE-GA-5018</v>
      </c>
      <c r="B614" s="33" t="str">
        <f>"Causación Gasto"</f>
        <v>Causación Gasto</v>
      </c>
      <c r="C614" s="34">
        <f ca="1">Gastos_Administrativos!B20</f>
        <v>46067</v>
      </c>
      <c r="D614" s="73" t="str">
        <f>"236805"</f>
        <v>236805</v>
      </c>
      <c r="E614" s="33" t="str">
        <f>"Retención ICA - Medellín 11.04‰"</f>
        <v>Retención ICA - Medellín 11.04‰</v>
      </c>
      <c r="F614" s="33" t="str">
        <f ca="1">Gastos_Administrativos!D20</f>
        <v>Cámara de Comercio de Medellín</v>
      </c>
      <c r="G614" s="33" t="str">
        <f ca="1">Gastos_Administrativos!E20</f>
        <v>890900672-1</v>
      </c>
      <c r="H614" s="33" t="str">
        <f ca="1">"CC-2"&amp;TEXT(MATCH(Gastos_Administrativos!G20,{"Administración";"Ventas";"Bodega";"Logística";"Gerencia"},0),"00")&amp;" "&amp;Gastos_Administrativos!G20</f>
        <v>CC-201 Administración</v>
      </c>
      <c r="I614" s="33" t="str">
        <f>"ReteICA Medellín sobre gasto "&amp;Gastos_Administrativos!A20</f>
        <v>ReteICA Medellín sobre gasto GA-2018</v>
      </c>
      <c r="J614" s="35">
        <f>0</f>
        <v>0</v>
      </c>
      <c r="K614" s="35">
        <f ca="1">Gastos_Administrativos!Q20</f>
        <v>18213</v>
      </c>
      <c r="L614" s="36" t="str">
        <f>Gastos_Administrativos!A20</f>
        <v>GA-2018</v>
      </c>
    </row>
    <row r="615" spans="1:12" x14ac:dyDescent="0.35">
      <c r="A615" s="32" t="str">
        <f>"CE-GA-"&amp;TEXT(5018,"0000")</f>
        <v>CE-GA-5018</v>
      </c>
      <c r="B615" s="33" t="str">
        <f>"Causación Gasto"</f>
        <v>Causación Gasto</v>
      </c>
      <c r="C615" s="34">
        <f ca="1">Gastos_Administrativos!B20</f>
        <v>46067</v>
      </c>
      <c r="D615" s="73" t="str">
        <f>"233525"</f>
        <v>233525</v>
      </c>
      <c r="E615" s="33" t="str">
        <f>"Costos y gastos por pagar"</f>
        <v>Costos y gastos por pagar</v>
      </c>
      <c r="F615" s="33" t="str">
        <f ca="1">Gastos_Administrativos!D20</f>
        <v>Cámara de Comercio de Medellín</v>
      </c>
      <c r="G615" s="33" t="str">
        <f ca="1">Gastos_Administrativos!E20</f>
        <v>890900672-1</v>
      </c>
      <c r="H615" s="33" t="str">
        <f ca="1">"CC-2"&amp;TEXT(MATCH(Gastos_Administrativos!G20,{"Administración";"Ventas";"Bodega";"Logística";"Gerencia"},0),"00")&amp;" "&amp;Gastos_Administrativos!G20</f>
        <v>CC-201 Administración</v>
      </c>
      <c r="I615" s="33" t="str">
        <f ca="1">"CxP gasto - "&amp;Gastos_Administrativos!D20&amp;" - "&amp;Gastos_Administrativos!A20</f>
        <v>CxP gasto - Cámara de Comercio de Medellín - GA-2018</v>
      </c>
      <c r="J615" s="35">
        <f>0</f>
        <v>0</v>
      </c>
      <c r="K615" s="35">
        <f ca="1">Gastos_Administrativos!R20</f>
        <v>1716447</v>
      </c>
      <c r="L615" s="36" t="str">
        <f>Gastos_Administrativos!A20</f>
        <v>GA-2018</v>
      </c>
    </row>
    <row r="616" spans="1:12" x14ac:dyDescent="0.35">
      <c r="A616" s="37" t="str">
        <f>"CE-GA-"&amp;TEXT(5019,"0000")</f>
        <v>CE-GA-5019</v>
      </c>
      <c r="B616" s="38" t="str">
        <f>"Causación Gasto"</f>
        <v>Causación Gasto</v>
      </c>
      <c r="C616" s="39">
        <f ca="1">Gastos_Administrativos!B21</f>
        <v>46047</v>
      </c>
      <c r="D616" s="74" t="str">
        <f ca="1">CHOOSE(MATCH(Gastos_Administrativos!F21,{"Arrendamientos";"Servicios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519525</v>
      </c>
      <c r="E616" s="38" t="str">
        <f ca="1">CHOOSE(MATCH(Gastos_Administrativos!F21,{"Arrendamientos";"Servicios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Útiles, papelería y fotocopias</v>
      </c>
      <c r="F616" s="38" t="str">
        <f ca="1">Gastos_Administrativos!D21</f>
        <v>Cámara de Comercio de Medellín</v>
      </c>
      <c r="G616" s="38" t="str">
        <f ca="1">Gastos_Administrativos!E21</f>
        <v>890900672-1</v>
      </c>
      <c r="H616" s="38" t="str">
        <f ca="1">"CC-2"&amp;TEXT(MATCH(Gastos_Administrativos!G21,{"Administración";"Ventas";"Bodega";"Logística";"Gerencia"},0),"00")&amp;" "&amp;Gastos_Administrativos!G21</f>
        <v>CC-203 Bodega</v>
      </c>
      <c r="I616" s="38" t="str">
        <f ca="1">"Causación gasto - "&amp;Gastos_Administrativos!C21&amp;" - "&amp;Gastos_Administrativos!A21</f>
        <v>Causación gasto - Café, agua y refrigerios oficina - GA-2019</v>
      </c>
      <c r="J616" s="40">
        <f ca="1">Gastos_Administrativos!H21</f>
        <v>2927100</v>
      </c>
      <c r="K616" s="40">
        <f>0</f>
        <v>0</v>
      </c>
      <c r="L616" s="41" t="str">
        <f>Gastos_Administrativos!A21</f>
        <v>GA-2019</v>
      </c>
    </row>
    <row r="617" spans="1:12" x14ac:dyDescent="0.35">
      <c r="A617" s="37" t="str">
        <f>"CE-GA-"&amp;TEXT(5019,"0000")</f>
        <v>CE-GA-5019</v>
      </c>
      <c r="B617" s="38" t="str">
        <f>"Causación Gasto"</f>
        <v>Causación Gasto</v>
      </c>
      <c r="C617" s="39">
        <f ca="1">Gastos_Administrativos!B21</f>
        <v>46047</v>
      </c>
      <c r="D617" s="74" t="str">
        <f>"240810"</f>
        <v>240810</v>
      </c>
      <c r="E617" s="38" t="str">
        <f>"IVA descontable - servicios/compras"</f>
        <v>IVA descontable - servicios/compras</v>
      </c>
      <c r="F617" s="38" t="str">
        <f ca="1">Gastos_Administrativos!D21</f>
        <v>Cámara de Comercio de Medellín</v>
      </c>
      <c r="G617" s="38" t="str">
        <f ca="1">Gastos_Administrativos!E21</f>
        <v>890900672-1</v>
      </c>
      <c r="H617" s="38" t="str">
        <f ca="1">"CC-2"&amp;TEXT(MATCH(Gastos_Administrativos!G21,{"Administración";"Ventas";"Bodega";"Logística";"Gerencia"},0),"00")&amp;" "&amp;Gastos_Administrativos!G21</f>
        <v>CC-203 Bodega</v>
      </c>
      <c r="I617" s="38" t="str">
        <f>"IVA descontable factura "&amp;Gastos_Administrativos!A21</f>
        <v>IVA descontable factura GA-2019</v>
      </c>
      <c r="J617" s="40">
        <f ca="1">Gastos_Administrativos!J21</f>
        <v>556149</v>
      </c>
      <c r="K617" s="40">
        <f>0</f>
        <v>0</v>
      </c>
      <c r="L617" s="41" t="str">
        <f>Gastos_Administrativos!A21</f>
        <v>GA-2019</v>
      </c>
    </row>
    <row r="618" spans="1:12" x14ac:dyDescent="0.35">
      <c r="A618" s="37" t="str">
        <f>"CE-GA-"&amp;TEXT(5019,"0000")</f>
        <v>CE-GA-5019</v>
      </c>
      <c r="B618" s="38" t="str">
        <f>"Causación Gasto"</f>
        <v>Causación Gasto</v>
      </c>
      <c r="C618" s="39">
        <f ca="1">Gastos_Administrativos!B21</f>
        <v>46047</v>
      </c>
      <c r="D618" s="74" t="str">
        <f ca="1">IF(Gastos_Administrativos!L21=0,"236540",CHOOSE(MATCH(Gastos_Administrativos!F21,{"Arrendamientos";"Servicios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618" s="38" t="str">
        <f ca="1">"ReteFuente "&amp;TEXT(Gastos_Administrativos!L21,"0.00%")&amp;" - "&amp;Gastos_Administrativos!F21</f>
        <v>ReteFuente 003% - Suministros</v>
      </c>
      <c r="F618" s="38" t="str">
        <f ca="1">Gastos_Administrativos!D21</f>
        <v>Cámara de Comercio de Medellín</v>
      </c>
      <c r="G618" s="38" t="str">
        <f ca="1">Gastos_Administrativos!E21</f>
        <v>890900672-1</v>
      </c>
      <c r="H618" s="38" t="str">
        <f ca="1">"CC-2"&amp;TEXT(MATCH(Gastos_Administrativos!G21,{"Administración";"Ventas";"Bodega";"Logística";"Gerencia"},0),"00")&amp;" "&amp;Gastos_Administrativos!G21</f>
        <v>CC-203 Bodega</v>
      </c>
      <c r="I618" s="38" t="str">
        <f ca="1">"ReteFuente "&amp;Gastos_Administrativos!C21&amp;" - "&amp;Gastos_Administrativos!A21</f>
        <v>ReteFuente Café, agua y refrigerios oficina - GA-2019</v>
      </c>
      <c r="J618" s="40">
        <f>0</f>
        <v>0</v>
      </c>
      <c r="K618" s="40">
        <f ca="1">Gastos_Administrativos!M21</f>
        <v>73178</v>
      </c>
      <c r="L618" s="41" t="str">
        <f>Gastos_Administrativos!A21</f>
        <v>GA-2019</v>
      </c>
    </row>
    <row r="619" spans="1:12" x14ac:dyDescent="0.35">
      <c r="A619" s="37" t="str">
        <f>"CE-GA-"&amp;TEXT(5019,"0000")</f>
        <v>CE-GA-5019</v>
      </c>
      <c r="B619" s="38" t="str">
        <f>"Causación Gasto"</f>
        <v>Causación Gasto</v>
      </c>
      <c r="C619" s="39">
        <f ca="1">Gastos_Administrativos!B21</f>
        <v>46047</v>
      </c>
      <c r="D619" s="74" t="str">
        <f>"236701"</f>
        <v>236701</v>
      </c>
      <c r="E619" s="38" t="str">
        <f>"Retención IVA - Régimen común 15%"</f>
        <v>Retención IVA - Régimen común 15%</v>
      </c>
      <c r="F619" s="38" t="str">
        <f ca="1">Gastos_Administrativos!D21</f>
        <v>Cámara de Comercio de Medellín</v>
      </c>
      <c r="G619" s="38" t="str">
        <f ca="1">Gastos_Administrativos!E21</f>
        <v>890900672-1</v>
      </c>
      <c r="H619" s="38" t="str">
        <f ca="1">"CC-2"&amp;TEXT(MATCH(Gastos_Administrativos!G21,{"Administración";"Ventas";"Bodega";"Logística";"Gerencia"},0),"00")&amp;" "&amp;Gastos_Administrativos!G21</f>
        <v>CC-203 Bodega</v>
      </c>
      <c r="I619" s="38" t="str">
        <f>"ReteIVA 15% sobre IVA factura "&amp;Gastos_Administrativos!A21</f>
        <v>ReteIVA 15% sobre IVA factura GA-2019</v>
      </c>
      <c r="J619" s="40">
        <f>0</f>
        <v>0</v>
      </c>
      <c r="K619" s="40">
        <f ca="1">Gastos_Administrativos!O21</f>
        <v>83422</v>
      </c>
      <c r="L619" s="41" t="str">
        <f>Gastos_Administrativos!A21</f>
        <v>GA-2019</v>
      </c>
    </row>
    <row r="620" spans="1:12" x14ac:dyDescent="0.35">
      <c r="A620" s="37" t="str">
        <f>"CE-GA-"&amp;TEXT(5019,"0000")</f>
        <v>CE-GA-5019</v>
      </c>
      <c r="B620" s="38" t="str">
        <f>"Causación Gasto"</f>
        <v>Causación Gasto</v>
      </c>
      <c r="C620" s="39">
        <f ca="1">Gastos_Administrativos!B21</f>
        <v>46047</v>
      </c>
      <c r="D620" s="74" t="str">
        <f>"236805"</f>
        <v>236805</v>
      </c>
      <c r="E620" s="38" t="str">
        <f>"Retención ICA - Medellín 11.04‰"</f>
        <v>Retención ICA - Medellín 11.04‰</v>
      </c>
      <c r="F620" s="38" t="str">
        <f ca="1">Gastos_Administrativos!D21</f>
        <v>Cámara de Comercio de Medellín</v>
      </c>
      <c r="G620" s="38" t="str">
        <f ca="1">Gastos_Administrativos!E21</f>
        <v>890900672-1</v>
      </c>
      <c r="H620" s="38" t="str">
        <f ca="1">"CC-2"&amp;TEXT(MATCH(Gastos_Administrativos!G21,{"Administración";"Ventas";"Bodega";"Logística";"Gerencia"},0),"00")&amp;" "&amp;Gastos_Administrativos!G21</f>
        <v>CC-203 Bodega</v>
      </c>
      <c r="I620" s="38" t="str">
        <f>"ReteICA Medellín sobre gasto "&amp;Gastos_Administrativos!A21</f>
        <v>ReteICA Medellín sobre gasto GA-2019</v>
      </c>
      <c r="J620" s="40">
        <f>0</f>
        <v>0</v>
      </c>
      <c r="K620" s="40">
        <f ca="1">Gastos_Administrativos!Q21</f>
        <v>32315</v>
      </c>
      <c r="L620" s="41" t="str">
        <f>Gastos_Administrativos!A21</f>
        <v>GA-2019</v>
      </c>
    </row>
    <row r="621" spans="1:12" x14ac:dyDescent="0.35">
      <c r="A621" s="37" t="str">
        <f>"CE-GA-"&amp;TEXT(5019,"0000")</f>
        <v>CE-GA-5019</v>
      </c>
      <c r="B621" s="38" t="str">
        <f>"Causación Gasto"</f>
        <v>Causación Gasto</v>
      </c>
      <c r="C621" s="39">
        <f ca="1">Gastos_Administrativos!B21</f>
        <v>46047</v>
      </c>
      <c r="D621" s="74" t="str">
        <f>"233525"</f>
        <v>233525</v>
      </c>
      <c r="E621" s="38" t="str">
        <f>"Costos y gastos por pagar"</f>
        <v>Costos y gastos por pagar</v>
      </c>
      <c r="F621" s="38" t="str">
        <f ca="1">Gastos_Administrativos!D21</f>
        <v>Cámara de Comercio de Medellín</v>
      </c>
      <c r="G621" s="38" t="str">
        <f ca="1">Gastos_Administrativos!E21</f>
        <v>890900672-1</v>
      </c>
      <c r="H621" s="38" t="str">
        <f ca="1">"CC-2"&amp;TEXT(MATCH(Gastos_Administrativos!G21,{"Administración";"Ventas";"Bodega";"Logística";"Gerencia"},0),"00")&amp;" "&amp;Gastos_Administrativos!G21</f>
        <v>CC-203 Bodega</v>
      </c>
      <c r="I621" s="38" t="str">
        <f ca="1">"CxP gasto - "&amp;Gastos_Administrativos!D21&amp;" - "&amp;Gastos_Administrativos!A21</f>
        <v>CxP gasto - Cámara de Comercio de Medellín - GA-2019</v>
      </c>
      <c r="J621" s="40">
        <f>0</f>
        <v>0</v>
      </c>
      <c r="K621" s="40">
        <f ca="1">Gastos_Administrativos!R21</f>
        <v>3294334</v>
      </c>
      <c r="L621" s="41" t="str">
        <f>Gastos_Administrativos!A21</f>
        <v>GA-2019</v>
      </c>
    </row>
    <row r="622" spans="1:12" x14ac:dyDescent="0.35">
      <c r="A622" s="32" t="str">
        <f>"CE-GA-"&amp;TEXT(5020,"0000")</f>
        <v>CE-GA-5020</v>
      </c>
      <c r="B622" s="33" t="str">
        <f>"Causación Gasto"</f>
        <v>Causación Gasto</v>
      </c>
      <c r="C622" s="34">
        <f ca="1">Gastos_Administrativos!B22</f>
        <v>46133</v>
      </c>
      <c r="D622" s="73" t="str">
        <f ca="1">CHOOSE(MATCH(Gastos_Administrativos!F22,{"Arrendamientos";"Servicios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511005</v>
      </c>
      <c r="E622" s="33" t="str">
        <f ca="1">CHOOSE(MATCH(Gastos_Administrativos!F22,{"Arrendamientos";"Servicios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Honorarios</v>
      </c>
      <c r="F622" s="33" t="str">
        <f ca="1">Gastos_Administrativos!D22</f>
        <v>Tigo UNE Telecomunicaciones S.A.</v>
      </c>
      <c r="G622" s="33" t="str">
        <f ca="1">Gastos_Administrativos!E22</f>
        <v>830122566-1</v>
      </c>
      <c r="H622" s="33" t="str">
        <f ca="1">"CC-2"&amp;TEXT(MATCH(Gastos_Administrativos!G22,{"Administración";"Ventas";"Bodega";"Logística";"Gerencia"},0),"00")&amp;" "&amp;Gastos_Administrativos!G22</f>
        <v>CC-202 Ventas</v>
      </c>
      <c r="I622" s="33" t="str">
        <f ca="1">"Causación gasto - "&amp;Gastos_Administrativos!C22&amp;" - "&amp;Gastos_Administrativos!A22</f>
        <v>Causación gasto - Honorarios asesoría jurídica - GA-2020</v>
      </c>
      <c r="J622" s="35">
        <f ca="1">Gastos_Administrativos!H22</f>
        <v>2561400</v>
      </c>
      <c r="K622" s="35">
        <f>0</f>
        <v>0</v>
      </c>
      <c r="L622" s="36" t="str">
        <f>Gastos_Administrativos!A22</f>
        <v>GA-2020</v>
      </c>
    </row>
    <row r="623" spans="1:12" x14ac:dyDescent="0.35">
      <c r="A623" s="32" t="str">
        <f>"CE-GA-"&amp;TEXT(5020,"0000")</f>
        <v>CE-GA-5020</v>
      </c>
      <c r="B623" s="33" t="str">
        <f>"Causación Gasto"</f>
        <v>Causación Gasto</v>
      </c>
      <c r="C623" s="34">
        <f ca="1">Gastos_Administrativos!B22</f>
        <v>46133</v>
      </c>
      <c r="D623" s="73" t="str">
        <f>"240810"</f>
        <v>240810</v>
      </c>
      <c r="E623" s="33" t="str">
        <f>"IVA descontable - servicios/compras"</f>
        <v>IVA descontable - servicios/compras</v>
      </c>
      <c r="F623" s="33" t="str">
        <f ca="1">Gastos_Administrativos!D22</f>
        <v>Tigo UNE Telecomunicaciones S.A.</v>
      </c>
      <c r="G623" s="33" t="str">
        <f ca="1">Gastos_Administrativos!E22</f>
        <v>830122566-1</v>
      </c>
      <c r="H623" s="33" t="str">
        <f ca="1">"CC-2"&amp;TEXT(MATCH(Gastos_Administrativos!G22,{"Administración";"Ventas";"Bodega";"Logística";"Gerencia"},0),"00")&amp;" "&amp;Gastos_Administrativos!G22</f>
        <v>CC-202 Ventas</v>
      </c>
      <c r="I623" s="33" t="str">
        <f>"IVA descontable factura "&amp;Gastos_Administrativos!A22</f>
        <v>IVA descontable factura GA-2020</v>
      </c>
      <c r="J623" s="35">
        <f ca="1">Gastos_Administrativos!J22</f>
        <v>486666</v>
      </c>
      <c r="K623" s="35">
        <f>0</f>
        <v>0</v>
      </c>
      <c r="L623" s="36" t="str">
        <f>Gastos_Administrativos!A22</f>
        <v>GA-2020</v>
      </c>
    </row>
    <row r="624" spans="1:12" x14ac:dyDescent="0.35">
      <c r="A624" s="32" t="str">
        <f>"CE-GA-"&amp;TEXT(5020,"0000")</f>
        <v>CE-GA-5020</v>
      </c>
      <c r="B624" s="33" t="str">
        <f>"Causación Gasto"</f>
        <v>Causación Gasto</v>
      </c>
      <c r="C624" s="34">
        <f ca="1">Gastos_Administrativos!B22</f>
        <v>46133</v>
      </c>
      <c r="D624" s="73" t="str">
        <f ca="1">IF(Gastos_Administrativos!L22=0,"236540",CHOOSE(MATCH(Gastos_Administrativos!F22,{"Arrendamientos";"Servicios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236515</v>
      </c>
      <c r="E624" s="33" t="str">
        <f ca="1">"ReteFuente "&amp;TEXT(Gastos_Administrativos!L22,"0.00%")&amp;" - "&amp;Gastos_Administrativos!F22</f>
        <v>ReteFuente 011% - Honorarios</v>
      </c>
      <c r="F624" s="33" t="str">
        <f ca="1">Gastos_Administrativos!D22</f>
        <v>Tigo UNE Telecomunicaciones S.A.</v>
      </c>
      <c r="G624" s="33" t="str">
        <f ca="1">Gastos_Administrativos!E22</f>
        <v>830122566-1</v>
      </c>
      <c r="H624" s="33" t="str">
        <f ca="1">"CC-2"&amp;TEXT(MATCH(Gastos_Administrativos!G22,{"Administración";"Ventas";"Bodega";"Logística";"Gerencia"},0),"00")&amp;" "&amp;Gastos_Administrativos!G22</f>
        <v>CC-202 Ventas</v>
      </c>
      <c r="I624" s="33" t="str">
        <f ca="1">"ReteFuente "&amp;Gastos_Administrativos!C22&amp;" - "&amp;Gastos_Administrativos!A22</f>
        <v>ReteFuente Honorarios asesoría jurídica - GA-2020</v>
      </c>
      <c r="J624" s="35">
        <f>0</f>
        <v>0</v>
      </c>
      <c r="K624" s="35">
        <f ca="1">Gastos_Administrativos!M22</f>
        <v>281754</v>
      </c>
      <c r="L624" s="36" t="str">
        <f>Gastos_Administrativos!A22</f>
        <v>GA-2020</v>
      </c>
    </row>
    <row r="625" spans="1:12" x14ac:dyDescent="0.35">
      <c r="A625" s="32" t="str">
        <f>"CE-GA-"&amp;TEXT(5020,"0000")</f>
        <v>CE-GA-5020</v>
      </c>
      <c r="B625" s="33" t="str">
        <f>"Causación Gasto"</f>
        <v>Causación Gasto</v>
      </c>
      <c r="C625" s="34">
        <f ca="1">Gastos_Administrativos!B22</f>
        <v>46133</v>
      </c>
      <c r="D625" s="73" t="str">
        <f>"236701"</f>
        <v>236701</v>
      </c>
      <c r="E625" s="33" t="str">
        <f>"Retención IVA - Régimen común 15%"</f>
        <v>Retención IVA - Régimen común 15%</v>
      </c>
      <c r="F625" s="33" t="str">
        <f ca="1">Gastos_Administrativos!D22</f>
        <v>Tigo UNE Telecomunicaciones S.A.</v>
      </c>
      <c r="G625" s="33" t="str">
        <f ca="1">Gastos_Administrativos!E22</f>
        <v>830122566-1</v>
      </c>
      <c r="H625" s="33" t="str">
        <f ca="1">"CC-2"&amp;TEXT(MATCH(Gastos_Administrativos!G22,{"Administración";"Ventas";"Bodega";"Logística";"Gerencia"},0),"00")&amp;" "&amp;Gastos_Administrativos!G22</f>
        <v>CC-202 Ventas</v>
      </c>
      <c r="I625" s="33" t="str">
        <f>"ReteIVA 15% sobre IVA factura "&amp;Gastos_Administrativos!A22</f>
        <v>ReteIVA 15% sobre IVA factura GA-2020</v>
      </c>
      <c r="J625" s="35">
        <f>0</f>
        <v>0</v>
      </c>
      <c r="K625" s="35">
        <f ca="1">Gastos_Administrativos!O22</f>
        <v>73000</v>
      </c>
      <c r="L625" s="36" t="str">
        <f>Gastos_Administrativos!A22</f>
        <v>GA-2020</v>
      </c>
    </row>
    <row r="626" spans="1:12" x14ac:dyDescent="0.35">
      <c r="A626" s="32" t="str">
        <f>"CE-GA-"&amp;TEXT(5020,"0000")</f>
        <v>CE-GA-5020</v>
      </c>
      <c r="B626" s="33" t="str">
        <f>"Causación Gasto"</f>
        <v>Causación Gasto</v>
      </c>
      <c r="C626" s="34">
        <f ca="1">Gastos_Administrativos!B22</f>
        <v>46133</v>
      </c>
      <c r="D626" s="73" t="str">
        <f>"236805"</f>
        <v>236805</v>
      </c>
      <c r="E626" s="33" t="str">
        <f>"Retención ICA - Medellín 11.04‰"</f>
        <v>Retención ICA - Medellín 11.04‰</v>
      </c>
      <c r="F626" s="33" t="str">
        <f ca="1">Gastos_Administrativos!D22</f>
        <v>Tigo UNE Telecomunicaciones S.A.</v>
      </c>
      <c r="G626" s="33" t="str">
        <f ca="1">Gastos_Administrativos!E22</f>
        <v>830122566-1</v>
      </c>
      <c r="H626" s="33" t="str">
        <f ca="1">"CC-2"&amp;TEXT(MATCH(Gastos_Administrativos!G22,{"Administración";"Ventas";"Bodega";"Logística";"Gerencia"},0),"00")&amp;" "&amp;Gastos_Administrativos!G22</f>
        <v>CC-202 Ventas</v>
      </c>
      <c r="I626" s="33" t="str">
        <f>"ReteICA Medellín sobre gasto "&amp;Gastos_Administrativos!A22</f>
        <v>ReteICA Medellín sobre gasto GA-2020</v>
      </c>
      <c r="J626" s="35">
        <f>0</f>
        <v>0</v>
      </c>
      <c r="K626" s="35">
        <f ca="1">Gastos_Administrativos!Q22</f>
        <v>28278</v>
      </c>
      <c r="L626" s="36" t="str">
        <f>Gastos_Administrativos!A22</f>
        <v>GA-2020</v>
      </c>
    </row>
    <row r="627" spans="1:12" x14ac:dyDescent="0.35">
      <c r="A627" s="32" t="str">
        <f>"CE-GA-"&amp;TEXT(5020,"0000")</f>
        <v>CE-GA-5020</v>
      </c>
      <c r="B627" s="33" t="str">
        <f>"Causación Gasto"</f>
        <v>Causación Gasto</v>
      </c>
      <c r="C627" s="34">
        <f ca="1">Gastos_Administrativos!B22</f>
        <v>46133</v>
      </c>
      <c r="D627" s="73" t="str">
        <f>"233525"</f>
        <v>233525</v>
      </c>
      <c r="E627" s="33" t="str">
        <f>"Costos y gastos por pagar"</f>
        <v>Costos y gastos por pagar</v>
      </c>
      <c r="F627" s="33" t="str">
        <f ca="1">Gastos_Administrativos!D22</f>
        <v>Tigo UNE Telecomunicaciones S.A.</v>
      </c>
      <c r="G627" s="33" t="str">
        <f ca="1">Gastos_Administrativos!E22</f>
        <v>830122566-1</v>
      </c>
      <c r="H627" s="33" t="str">
        <f ca="1">"CC-2"&amp;TEXT(MATCH(Gastos_Administrativos!G22,{"Administración";"Ventas";"Bodega";"Logística";"Gerencia"},0),"00")&amp;" "&amp;Gastos_Administrativos!G22</f>
        <v>CC-202 Ventas</v>
      </c>
      <c r="I627" s="33" t="str">
        <f ca="1">"CxP gasto - "&amp;Gastos_Administrativos!D22&amp;" - "&amp;Gastos_Administrativos!A22</f>
        <v>CxP gasto - Tigo UNE Telecomunicaciones S.A. - GA-2020</v>
      </c>
      <c r="J627" s="35">
        <f>0</f>
        <v>0</v>
      </c>
      <c r="K627" s="35">
        <f ca="1">Gastos_Administrativos!R22</f>
        <v>2665034</v>
      </c>
      <c r="L627" s="36" t="str">
        <f>Gastos_Administrativos!A22</f>
        <v>GA-2020</v>
      </c>
    </row>
    <row r="628" spans="1:12" x14ac:dyDescent="0.35">
      <c r="A628" s="37" t="str">
        <f>"CE-GA-"&amp;TEXT(5021,"0000")</f>
        <v>CE-GA-5021</v>
      </c>
      <c r="B628" s="38" t="str">
        <f>"Causación Gasto"</f>
        <v>Causación Gasto</v>
      </c>
      <c r="C628" s="39">
        <f ca="1">Gastos_Administrativos!B23</f>
        <v>46130</v>
      </c>
      <c r="D628" s="74" t="str">
        <f ca="1">CHOOSE(MATCH(Gastos_Administrativos!F23,{"Arrendamientos";"Servicios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530525</v>
      </c>
      <c r="E628" s="38" t="str">
        <f ca="1">CHOOSE(MATCH(Gastos_Administrativos!F23,{"Arrendamientos";"Servicios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Gastos bancarios</v>
      </c>
      <c r="F628" s="38" t="str">
        <f ca="1">Gastos_Administrativos!D23</f>
        <v>Agencia Digital Laureles S.A.S.</v>
      </c>
      <c r="G628" s="38" t="str">
        <f ca="1">Gastos_Administrativos!E23</f>
        <v>901567890-1</v>
      </c>
      <c r="H628" s="38" t="str">
        <f ca="1">"CC-2"&amp;TEXT(MATCH(Gastos_Administrativos!G23,{"Administración";"Ventas";"Bodega";"Logística";"Gerencia"},0),"00")&amp;" "&amp;Gastos_Administrativos!G23</f>
        <v>CC-201 Administración</v>
      </c>
      <c r="I628" s="38" t="str">
        <f ca="1">"Causación gasto - "&amp;Gastos_Administrativos!C23&amp;" - "&amp;Gastos_Administrativos!A23</f>
        <v>Causación gasto - Servicios bancarios y comisiones - GA-2021</v>
      </c>
      <c r="J628" s="40">
        <f ca="1">Gastos_Administrativos!H23</f>
        <v>302500</v>
      </c>
      <c r="K628" s="40">
        <f>0</f>
        <v>0</v>
      </c>
      <c r="L628" s="41" t="str">
        <f>Gastos_Administrativos!A23</f>
        <v>GA-2021</v>
      </c>
    </row>
    <row r="629" spans="1:12" x14ac:dyDescent="0.35">
      <c r="A629" s="37" t="str">
        <f>"CE-GA-"&amp;TEXT(5021,"0000")</f>
        <v>CE-GA-5021</v>
      </c>
      <c r="B629" s="38" t="str">
        <f>"Causación Gasto"</f>
        <v>Causación Gasto</v>
      </c>
      <c r="C629" s="39">
        <f ca="1">Gastos_Administrativos!B23</f>
        <v>46130</v>
      </c>
      <c r="D629" s="74" t="str">
        <f>"240810"</f>
        <v>240810</v>
      </c>
      <c r="E629" s="38" t="str">
        <f>"IVA descontable - servicios/compras"</f>
        <v>IVA descontable - servicios/compras</v>
      </c>
      <c r="F629" s="38" t="str">
        <f ca="1">Gastos_Administrativos!D23</f>
        <v>Agencia Digital Laureles S.A.S.</v>
      </c>
      <c r="G629" s="38" t="str">
        <f ca="1">Gastos_Administrativos!E23</f>
        <v>901567890-1</v>
      </c>
      <c r="H629" s="38" t="str">
        <f ca="1">"CC-2"&amp;TEXT(MATCH(Gastos_Administrativos!G23,{"Administración";"Ventas";"Bodega";"Logística";"Gerencia"},0),"00")&amp;" "&amp;Gastos_Administrativos!G23</f>
        <v>CC-201 Administración</v>
      </c>
      <c r="I629" s="38" t="str">
        <f>"IVA descontable factura "&amp;Gastos_Administrativos!A23</f>
        <v>IVA descontable factura GA-2021</v>
      </c>
      <c r="J629" s="40">
        <f ca="1">Gastos_Administrativos!J23</f>
        <v>0</v>
      </c>
      <c r="K629" s="40">
        <f>0</f>
        <v>0</v>
      </c>
      <c r="L629" s="41" t="str">
        <f>Gastos_Administrativos!A23</f>
        <v>GA-2021</v>
      </c>
    </row>
    <row r="630" spans="1:12" x14ac:dyDescent="0.35">
      <c r="A630" s="37" t="str">
        <f>"CE-GA-"&amp;TEXT(5021,"0000")</f>
        <v>CE-GA-5021</v>
      </c>
      <c r="B630" s="38" t="str">
        <f>"Causación Gasto"</f>
        <v>Causación Gasto</v>
      </c>
      <c r="C630" s="39">
        <f ca="1">Gastos_Administrativos!B23</f>
        <v>46130</v>
      </c>
      <c r="D630" s="74" t="str">
        <f ca="1">IF(Gastos_Administrativos!L23=0,"236540",CHOOSE(MATCH(Gastos_Administrativos!F23,{"Arrendamientos";"Servicios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630" s="38" t="str">
        <f ca="1">"ReteFuente "&amp;TEXT(Gastos_Administrativos!L23,"0.00%")&amp;" - "&amp;Gastos_Administrativos!F23</f>
        <v>ReteFuente 000% - Financieros</v>
      </c>
      <c r="F630" s="38" t="str">
        <f ca="1">Gastos_Administrativos!D23</f>
        <v>Agencia Digital Laureles S.A.S.</v>
      </c>
      <c r="G630" s="38" t="str">
        <f ca="1">Gastos_Administrativos!E23</f>
        <v>901567890-1</v>
      </c>
      <c r="H630" s="38" t="str">
        <f ca="1">"CC-2"&amp;TEXT(MATCH(Gastos_Administrativos!G23,{"Administración";"Ventas";"Bodega";"Logística";"Gerencia"},0),"00")&amp;" "&amp;Gastos_Administrativos!G23</f>
        <v>CC-201 Administración</v>
      </c>
      <c r="I630" s="38" t="str">
        <f ca="1">"ReteFuente "&amp;Gastos_Administrativos!C23&amp;" - "&amp;Gastos_Administrativos!A23</f>
        <v>ReteFuente Servicios bancarios y comisiones - GA-2021</v>
      </c>
      <c r="J630" s="40">
        <f>0</f>
        <v>0</v>
      </c>
      <c r="K630" s="40">
        <f ca="1">Gastos_Administrativos!M23</f>
        <v>0</v>
      </c>
      <c r="L630" s="41" t="str">
        <f>Gastos_Administrativos!A23</f>
        <v>GA-2021</v>
      </c>
    </row>
    <row r="631" spans="1:12" x14ac:dyDescent="0.35">
      <c r="A631" s="37" t="str">
        <f>"CE-GA-"&amp;TEXT(5021,"0000")</f>
        <v>CE-GA-5021</v>
      </c>
      <c r="B631" s="38" t="str">
        <f>"Causación Gasto"</f>
        <v>Causación Gasto</v>
      </c>
      <c r="C631" s="39">
        <f ca="1">Gastos_Administrativos!B23</f>
        <v>46130</v>
      </c>
      <c r="D631" s="74" t="str">
        <f>"236701"</f>
        <v>236701</v>
      </c>
      <c r="E631" s="38" t="str">
        <f>"Retención IVA - Régimen común 15%"</f>
        <v>Retención IVA - Régimen común 15%</v>
      </c>
      <c r="F631" s="38" t="str">
        <f ca="1">Gastos_Administrativos!D23</f>
        <v>Agencia Digital Laureles S.A.S.</v>
      </c>
      <c r="G631" s="38" t="str">
        <f ca="1">Gastos_Administrativos!E23</f>
        <v>901567890-1</v>
      </c>
      <c r="H631" s="38" t="str">
        <f ca="1">"CC-2"&amp;TEXT(MATCH(Gastos_Administrativos!G23,{"Administración";"Ventas";"Bodega";"Logística";"Gerencia"},0),"00")&amp;" "&amp;Gastos_Administrativos!G23</f>
        <v>CC-201 Administración</v>
      </c>
      <c r="I631" s="38" t="str">
        <f>"ReteIVA 15% sobre IVA factura "&amp;Gastos_Administrativos!A23</f>
        <v>ReteIVA 15% sobre IVA factura GA-2021</v>
      </c>
      <c r="J631" s="40">
        <f>0</f>
        <v>0</v>
      </c>
      <c r="K631" s="40">
        <f ca="1">Gastos_Administrativos!O23</f>
        <v>0</v>
      </c>
      <c r="L631" s="41" t="str">
        <f>Gastos_Administrativos!A23</f>
        <v>GA-2021</v>
      </c>
    </row>
    <row r="632" spans="1:12" x14ac:dyDescent="0.35">
      <c r="A632" s="37" t="str">
        <f>"CE-GA-"&amp;TEXT(5021,"0000")</f>
        <v>CE-GA-5021</v>
      </c>
      <c r="B632" s="38" t="str">
        <f>"Causación Gasto"</f>
        <v>Causación Gasto</v>
      </c>
      <c r="C632" s="39">
        <f ca="1">Gastos_Administrativos!B23</f>
        <v>46130</v>
      </c>
      <c r="D632" s="74" t="str">
        <f>"236805"</f>
        <v>236805</v>
      </c>
      <c r="E632" s="38" t="str">
        <f>"Retención ICA - Medellín 11.04‰"</f>
        <v>Retención ICA - Medellín 11.04‰</v>
      </c>
      <c r="F632" s="38" t="str">
        <f ca="1">Gastos_Administrativos!D23</f>
        <v>Agencia Digital Laureles S.A.S.</v>
      </c>
      <c r="G632" s="38" t="str">
        <f ca="1">Gastos_Administrativos!E23</f>
        <v>901567890-1</v>
      </c>
      <c r="H632" s="38" t="str">
        <f ca="1">"CC-2"&amp;TEXT(MATCH(Gastos_Administrativos!G23,{"Administración";"Ventas";"Bodega";"Logística";"Gerencia"},0),"00")&amp;" "&amp;Gastos_Administrativos!G23</f>
        <v>CC-201 Administración</v>
      </c>
      <c r="I632" s="38" t="str">
        <f>"ReteICA Medellín sobre gasto "&amp;Gastos_Administrativos!A23</f>
        <v>ReteICA Medellín sobre gasto GA-2021</v>
      </c>
      <c r="J632" s="40">
        <f>0</f>
        <v>0</v>
      </c>
      <c r="K632" s="40">
        <f ca="1">Gastos_Administrativos!Q23</f>
        <v>3340</v>
      </c>
      <c r="L632" s="41" t="str">
        <f>Gastos_Administrativos!A23</f>
        <v>GA-2021</v>
      </c>
    </row>
    <row r="633" spans="1:12" x14ac:dyDescent="0.35">
      <c r="A633" s="37" t="str">
        <f>"CE-GA-"&amp;TEXT(5021,"0000")</f>
        <v>CE-GA-5021</v>
      </c>
      <c r="B633" s="38" t="str">
        <f>"Causación Gasto"</f>
        <v>Causación Gasto</v>
      </c>
      <c r="C633" s="39">
        <f ca="1">Gastos_Administrativos!B23</f>
        <v>46130</v>
      </c>
      <c r="D633" s="74" t="str">
        <f>"233525"</f>
        <v>233525</v>
      </c>
      <c r="E633" s="38" t="str">
        <f>"Costos y gastos por pagar"</f>
        <v>Costos y gastos por pagar</v>
      </c>
      <c r="F633" s="38" t="str">
        <f ca="1">Gastos_Administrativos!D23</f>
        <v>Agencia Digital Laureles S.A.S.</v>
      </c>
      <c r="G633" s="38" t="str">
        <f ca="1">Gastos_Administrativos!E23</f>
        <v>901567890-1</v>
      </c>
      <c r="H633" s="38" t="str">
        <f ca="1">"CC-2"&amp;TEXT(MATCH(Gastos_Administrativos!G23,{"Administración";"Ventas";"Bodega";"Logística";"Gerencia"},0),"00")&amp;" "&amp;Gastos_Administrativos!G23</f>
        <v>CC-201 Administración</v>
      </c>
      <c r="I633" s="38" t="str">
        <f ca="1">"CxP gasto - "&amp;Gastos_Administrativos!D23&amp;" - "&amp;Gastos_Administrativos!A23</f>
        <v>CxP gasto - Agencia Digital Laureles S.A.S. - GA-2021</v>
      </c>
      <c r="J633" s="40">
        <f>0</f>
        <v>0</v>
      </c>
      <c r="K633" s="40">
        <f ca="1">Gastos_Administrativos!R23</f>
        <v>299160</v>
      </c>
      <c r="L633" s="41" t="str">
        <f>Gastos_Administrativos!A23</f>
        <v>GA-2021</v>
      </c>
    </row>
    <row r="634" spans="1:12" x14ac:dyDescent="0.35">
      <c r="A634" s="32" t="str">
        <f>"CE-GA-"&amp;TEXT(5022,"0000")</f>
        <v>CE-GA-5022</v>
      </c>
      <c r="B634" s="33" t="str">
        <f>"Causación Gasto"</f>
        <v>Causación Gasto</v>
      </c>
      <c r="C634" s="34">
        <f ca="1">Gastos_Administrativos!B24</f>
        <v>46111</v>
      </c>
      <c r="D634" s="73" t="str">
        <f ca="1">CHOOSE(MATCH(Gastos_Administrativos!F24,{"Arrendamientos";"Servicios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512010</v>
      </c>
      <c r="E634" s="33" t="str">
        <f ca="1">CHOOSE(MATCH(Gastos_Administrativos!F24,{"Arrendamientos";"Servicios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Arrendamientos</v>
      </c>
      <c r="F634" s="33" t="str">
        <f ca="1">Gastos_Administrativos!D24</f>
        <v>Bancolombia S.A.</v>
      </c>
      <c r="G634" s="33" t="str">
        <f ca="1">Gastos_Administrativos!E24</f>
        <v>890903938-8</v>
      </c>
      <c r="H634" s="33" t="str">
        <f ca="1">"CC-2"&amp;TEXT(MATCH(Gastos_Administrativos!G24,{"Administración";"Ventas";"Bodega";"Logística";"Gerencia"},0),"00")&amp;" "&amp;Gastos_Administrativos!G24</f>
        <v>CC-205 Gerencia</v>
      </c>
      <c r="I634" s="33" t="str">
        <f ca="1">"Causación gasto - "&amp;Gastos_Administrativos!C24&amp;" - "&amp;Gastos_Administrativos!A24</f>
        <v>Causación gasto - Arrendamiento local comercial - GA-2022</v>
      </c>
      <c r="J634" s="35">
        <f ca="1">Gastos_Administrativos!H24</f>
        <v>2770600</v>
      </c>
      <c r="K634" s="35">
        <f>0</f>
        <v>0</v>
      </c>
      <c r="L634" s="36" t="str">
        <f>Gastos_Administrativos!A24</f>
        <v>GA-2022</v>
      </c>
    </row>
    <row r="635" spans="1:12" x14ac:dyDescent="0.35">
      <c r="A635" s="32" t="str">
        <f>"CE-GA-"&amp;TEXT(5022,"0000")</f>
        <v>CE-GA-5022</v>
      </c>
      <c r="B635" s="33" t="str">
        <f>"Causación Gasto"</f>
        <v>Causación Gasto</v>
      </c>
      <c r="C635" s="34">
        <f ca="1">Gastos_Administrativos!B24</f>
        <v>46111</v>
      </c>
      <c r="D635" s="73" t="str">
        <f>"240810"</f>
        <v>240810</v>
      </c>
      <c r="E635" s="33" t="str">
        <f>"IVA descontable - servicios/compras"</f>
        <v>IVA descontable - servicios/compras</v>
      </c>
      <c r="F635" s="33" t="str">
        <f ca="1">Gastos_Administrativos!D24</f>
        <v>Bancolombia S.A.</v>
      </c>
      <c r="G635" s="33" t="str">
        <f ca="1">Gastos_Administrativos!E24</f>
        <v>890903938-8</v>
      </c>
      <c r="H635" s="33" t="str">
        <f ca="1">"CC-2"&amp;TEXT(MATCH(Gastos_Administrativos!G24,{"Administración";"Ventas";"Bodega";"Logística";"Gerencia"},0),"00")&amp;" "&amp;Gastos_Administrativos!G24</f>
        <v>CC-205 Gerencia</v>
      </c>
      <c r="I635" s="33" t="str">
        <f>"IVA descontable factura "&amp;Gastos_Administrativos!A24</f>
        <v>IVA descontable factura GA-2022</v>
      </c>
      <c r="J635" s="35">
        <f ca="1">Gastos_Administrativos!J24</f>
        <v>526414</v>
      </c>
      <c r="K635" s="35">
        <f>0</f>
        <v>0</v>
      </c>
      <c r="L635" s="36" t="str">
        <f>Gastos_Administrativos!A24</f>
        <v>GA-2022</v>
      </c>
    </row>
    <row r="636" spans="1:12" x14ac:dyDescent="0.35">
      <c r="A636" s="32" t="str">
        <f>"CE-GA-"&amp;TEXT(5022,"0000")</f>
        <v>CE-GA-5022</v>
      </c>
      <c r="B636" s="33" t="str">
        <f>"Causación Gasto"</f>
        <v>Causación Gasto</v>
      </c>
      <c r="C636" s="34">
        <f ca="1">Gastos_Administrativos!B24</f>
        <v>46111</v>
      </c>
      <c r="D636" s="73" t="str">
        <f ca="1">IF(Gastos_Administrativos!L24=0,"236540",CHOOSE(MATCH(Gastos_Administrativos!F24,{"Arrendamientos";"Servicios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236525</v>
      </c>
      <c r="E636" s="33" t="str">
        <f ca="1">"ReteFuente "&amp;TEXT(Gastos_Administrativos!L24,"0.00%")&amp;" - "&amp;Gastos_Administrativos!F24</f>
        <v>ReteFuente 004% - Arrendamientos</v>
      </c>
      <c r="F636" s="33" t="str">
        <f ca="1">Gastos_Administrativos!D24</f>
        <v>Bancolombia S.A.</v>
      </c>
      <c r="G636" s="33" t="str">
        <f ca="1">Gastos_Administrativos!E24</f>
        <v>890903938-8</v>
      </c>
      <c r="H636" s="33" t="str">
        <f ca="1">"CC-2"&amp;TEXT(MATCH(Gastos_Administrativos!G24,{"Administración";"Ventas";"Bodega";"Logística";"Gerencia"},0),"00")&amp;" "&amp;Gastos_Administrativos!G24</f>
        <v>CC-205 Gerencia</v>
      </c>
      <c r="I636" s="33" t="str">
        <f ca="1">"ReteFuente "&amp;Gastos_Administrativos!C24&amp;" - "&amp;Gastos_Administrativos!A24</f>
        <v>ReteFuente Arrendamiento local comercial - GA-2022</v>
      </c>
      <c r="J636" s="35">
        <f>0</f>
        <v>0</v>
      </c>
      <c r="K636" s="35">
        <f ca="1">Gastos_Administrativos!M24</f>
        <v>96971</v>
      </c>
      <c r="L636" s="36" t="str">
        <f>Gastos_Administrativos!A24</f>
        <v>GA-2022</v>
      </c>
    </row>
    <row r="637" spans="1:12" x14ac:dyDescent="0.35">
      <c r="A637" s="32" t="str">
        <f>"CE-GA-"&amp;TEXT(5022,"0000")</f>
        <v>CE-GA-5022</v>
      </c>
      <c r="B637" s="33" t="str">
        <f>"Causación Gasto"</f>
        <v>Causación Gasto</v>
      </c>
      <c r="C637" s="34">
        <f ca="1">Gastos_Administrativos!B24</f>
        <v>46111</v>
      </c>
      <c r="D637" s="73" t="str">
        <f>"236701"</f>
        <v>236701</v>
      </c>
      <c r="E637" s="33" t="str">
        <f>"Retención IVA - Régimen común 15%"</f>
        <v>Retención IVA - Régimen común 15%</v>
      </c>
      <c r="F637" s="33" t="str">
        <f ca="1">Gastos_Administrativos!D24</f>
        <v>Bancolombia S.A.</v>
      </c>
      <c r="G637" s="33" t="str">
        <f ca="1">Gastos_Administrativos!E24</f>
        <v>890903938-8</v>
      </c>
      <c r="H637" s="33" t="str">
        <f ca="1">"CC-2"&amp;TEXT(MATCH(Gastos_Administrativos!G24,{"Administración";"Ventas";"Bodega";"Logística";"Gerencia"},0),"00")&amp;" "&amp;Gastos_Administrativos!G24</f>
        <v>CC-205 Gerencia</v>
      </c>
      <c r="I637" s="33" t="str">
        <f>"ReteIVA 15% sobre IVA factura "&amp;Gastos_Administrativos!A24</f>
        <v>ReteIVA 15% sobre IVA factura GA-2022</v>
      </c>
      <c r="J637" s="35">
        <f>0</f>
        <v>0</v>
      </c>
      <c r="K637" s="35">
        <f ca="1">Gastos_Administrativos!O24</f>
        <v>78962</v>
      </c>
      <c r="L637" s="36" t="str">
        <f>Gastos_Administrativos!A24</f>
        <v>GA-2022</v>
      </c>
    </row>
    <row r="638" spans="1:12" x14ac:dyDescent="0.35">
      <c r="A638" s="32" t="str">
        <f>"CE-GA-"&amp;TEXT(5022,"0000")</f>
        <v>CE-GA-5022</v>
      </c>
      <c r="B638" s="33" t="str">
        <f>"Causación Gasto"</f>
        <v>Causación Gasto</v>
      </c>
      <c r="C638" s="34">
        <f ca="1">Gastos_Administrativos!B24</f>
        <v>46111</v>
      </c>
      <c r="D638" s="73" t="str">
        <f>"236805"</f>
        <v>236805</v>
      </c>
      <c r="E638" s="33" t="str">
        <f>"Retención ICA - Medellín 11.04‰"</f>
        <v>Retención ICA - Medellín 11.04‰</v>
      </c>
      <c r="F638" s="33" t="str">
        <f ca="1">Gastos_Administrativos!D24</f>
        <v>Bancolombia S.A.</v>
      </c>
      <c r="G638" s="33" t="str">
        <f ca="1">Gastos_Administrativos!E24</f>
        <v>890903938-8</v>
      </c>
      <c r="H638" s="33" t="str">
        <f ca="1">"CC-2"&amp;TEXT(MATCH(Gastos_Administrativos!G24,{"Administración";"Ventas";"Bodega";"Logística";"Gerencia"},0),"00")&amp;" "&amp;Gastos_Administrativos!G24</f>
        <v>CC-205 Gerencia</v>
      </c>
      <c r="I638" s="33" t="str">
        <f>"ReteICA Medellín sobre gasto "&amp;Gastos_Administrativos!A24</f>
        <v>ReteICA Medellín sobre gasto GA-2022</v>
      </c>
      <c r="J638" s="35">
        <f>0</f>
        <v>0</v>
      </c>
      <c r="K638" s="35">
        <f ca="1">Gastos_Administrativos!Q24</f>
        <v>30587</v>
      </c>
      <c r="L638" s="36" t="str">
        <f>Gastos_Administrativos!A24</f>
        <v>GA-2022</v>
      </c>
    </row>
    <row r="639" spans="1:12" x14ac:dyDescent="0.35">
      <c r="A639" s="32" t="str">
        <f>"CE-GA-"&amp;TEXT(5022,"0000")</f>
        <v>CE-GA-5022</v>
      </c>
      <c r="B639" s="33" t="str">
        <f>"Causación Gasto"</f>
        <v>Causación Gasto</v>
      </c>
      <c r="C639" s="34">
        <f ca="1">Gastos_Administrativos!B24</f>
        <v>46111</v>
      </c>
      <c r="D639" s="73" t="str">
        <f>"233525"</f>
        <v>233525</v>
      </c>
      <c r="E639" s="33" t="str">
        <f>"Costos y gastos por pagar"</f>
        <v>Costos y gastos por pagar</v>
      </c>
      <c r="F639" s="33" t="str">
        <f ca="1">Gastos_Administrativos!D24</f>
        <v>Bancolombia S.A.</v>
      </c>
      <c r="G639" s="33" t="str">
        <f ca="1">Gastos_Administrativos!E24</f>
        <v>890903938-8</v>
      </c>
      <c r="H639" s="33" t="str">
        <f ca="1">"CC-2"&amp;TEXT(MATCH(Gastos_Administrativos!G24,{"Administración";"Ventas";"Bodega";"Logística";"Gerencia"},0),"00")&amp;" "&amp;Gastos_Administrativos!G24</f>
        <v>CC-205 Gerencia</v>
      </c>
      <c r="I639" s="33" t="str">
        <f ca="1">"CxP gasto - "&amp;Gastos_Administrativos!D24&amp;" - "&amp;Gastos_Administrativos!A24</f>
        <v>CxP gasto - Bancolombia S.A. - GA-2022</v>
      </c>
      <c r="J639" s="35">
        <f>0</f>
        <v>0</v>
      </c>
      <c r="K639" s="35">
        <f ca="1">Gastos_Administrativos!R24</f>
        <v>3090494</v>
      </c>
      <c r="L639" s="36" t="str">
        <f>Gastos_Administrativos!A24</f>
        <v>GA-2022</v>
      </c>
    </row>
    <row r="640" spans="1:12" x14ac:dyDescent="0.35">
      <c r="A640" s="37" t="str">
        <f>"CE-GA-"&amp;TEXT(5023,"0000")</f>
        <v>CE-GA-5023</v>
      </c>
      <c r="B640" s="38" t="str">
        <f>"Causación Gasto"</f>
        <v>Causación Gasto</v>
      </c>
      <c r="C640" s="39">
        <f ca="1">Gastos_Administrativos!B25</f>
        <v>46054</v>
      </c>
      <c r="D640" s="74" t="str">
        <f ca="1">CHOOSE(MATCH(Gastos_Administrativos!F25,{"Arrendamientos";"Servicios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514515</v>
      </c>
      <c r="E640" s="38" t="str">
        <f ca="1">CHOOSE(MATCH(Gastos_Administrativos!F25,{"Arrendamientos";"Servicios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Sistematización</v>
      </c>
      <c r="F640" s="38" t="str">
        <f ca="1">Gastos_Administrativos!D25</f>
        <v>Constructora Mantenimientos Bello</v>
      </c>
      <c r="G640" s="38" t="str">
        <f ca="1">Gastos_Administrativos!E25</f>
        <v>900789012-7</v>
      </c>
      <c r="H640" s="38" t="str">
        <f ca="1">"CC-2"&amp;TEXT(MATCH(Gastos_Administrativos!G25,{"Administración";"Ventas";"Bodega";"Logística";"Gerencia"},0),"00")&amp;" "&amp;Gastos_Administrativos!G25</f>
        <v>CC-203 Bodega</v>
      </c>
      <c r="I640" s="38" t="str">
        <f ca="1">"Causación gasto - "&amp;Gastos_Administrativos!C25&amp;" - "&amp;Gastos_Administrativos!A25</f>
        <v>Causación gasto - Software contable - licencia mensual - GA-2023</v>
      </c>
      <c r="J640" s="40">
        <f ca="1">Gastos_Administrativos!H25</f>
        <v>4575500</v>
      </c>
      <c r="K640" s="40">
        <f>0</f>
        <v>0</v>
      </c>
      <c r="L640" s="41" t="str">
        <f>Gastos_Administrativos!A25</f>
        <v>GA-2023</v>
      </c>
    </row>
    <row r="641" spans="1:12" x14ac:dyDescent="0.35">
      <c r="A641" s="37" t="str">
        <f>"CE-GA-"&amp;TEXT(5023,"0000")</f>
        <v>CE-GA-5023</v>
      </c>
      <c r="B641" s="38" t="str">
        <f>"Causación Gasto"</f>
        <v>Causación Gasto</v>
      </c>
      <c r="C641" s="39">
        <f ca="1">Gastos_Administrativos!B25</f>
        <v>46054</v>
      </c>
      <c r="D641" s="74" t="str">
        <f>"240810"</f>
        <v>240810</v>
      </c>
      <c r="E641" s="38" t="str">
        <f>"IVA descontable - servicios/compras"</f>
        <v>IVA descontable - servicios/compras</v>
      </c>
      <c r="F641" s="38" t="str">
        <f ca="1">Gastos_Administrativos!D25</f>
        <v>Constructora Mantenimientos Bello</v>
      </c>
      <c r="G641" s="38" t="str">
        <f ca="1">Gastos_Administrativos!E25</f>
        <v>900789012-7</v>
      </c>
      <c r="H641" s="38" t="str">
        <f ca="1">"CC-2"&amp;TEXT(MATCH(Gastos_Administrativos!G25,{"Administración";"Ventas";"Bodega";"Logística";"Gerencia"},0),"00")&amp;" "&amp;Gastos_Administrativos!G25</f>
        <v>CC-203 Bodega</v>
      </c>
      <c r="I641" s="38" t="str">
        <f>"IVA descontable factura "&amp;Gastos_Administrativos!A25</f>
        <v>IVA descontable factura GA-2023</v>
      </c>
      <c r="J641" s="40">
        <f ca="1">Gastos_Administrativos!J25</f>
        <v>869345</v>
      </c>
      <c r="K641" s="40">
        <f>0</f>
        <v>0</v>
      </c>
      <c r="L641" s="41" t="str">
        <f>Gastos_Administrativos!A25</f>
        <v>GA-2023</v>
      </c>
    </row>
    <row r="642" spans="1:12" x14ac:dyDescent="0.35">
      <c r="A642" s="37" t="str">
        <f>"CE-GA-"&amp;TEXT(5023,"0000")</f>
        <v>CE-GA-5023</v>
      </c>
      <c r="B642" s="38" t="str">
        <f>"Causación Gasto"</f>
        <v>Causación Gasto</v>
      </c>
      <c r="C642" s="39">
        <f ca="1">Gastos_Administrativos!B25</f>
        <v>46054</v>
      </c>
      <c r="D642" s="74" t="str">
        <f ca="1">IF(Gastos_Administrativos!L25=0,"236540",CHOOSE(MATCH(Gastos_Administrativos!F25,{"Arrendamientos";"Servicios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236525</v>
      </c>
      <c r="E642" s="38" t="str">
        <f ca="1">"ReteFuente "&amp;TEXT(Gastos_Administrativos!L25,"0.00%")&amp;" - "&amp;Gastos_Administrativos!F25</f>
        <v>ReteFuente 004% - Tecnología</v>
      </c>
      <c r="F642" s="38" t="str">
        <f ca="1">Gastos_Administrativos!D25</f>
        <v>Constructora Mantenimientos Bello</v>
      </c>
      <c r="G642" s="38" t="str">
        <f ca="1">Gastos_Administrativos!E25</f>
        <v>900789012-7</v>
      </c>
      <c r="H642" s="38" t="str">
        <f ca="1">"CC-2"&amp;TEXT(MATCH(Gastos_Administrativos!G25,{"Administración";"Ventas";"Bodega";"Logística";"Gerencia"},0),"00")&amp;" "&amp;Gastos_Administrativos!G25</f>
        <v>CC-203 Bodega</v>
      </c>
      <c r="I642" s="38" t="str">
        <f ca="1">"ReteFuente "&amp;Gastos_Administrativos!C25&amp;" - "&amp;Gastos_Administrativos!A25</f>
        <v>ReteFuente Software contable - licencia mensual - GA-2023</v>
      </c>
      <c r="J642" s="40">
        <f>0</f>
        <v>0</v>
      </c>
      <c r="K642" s="40">
        <f ca="1">Gastos_Administrativos!M25</f>
        <v>160143</v>
      </c>
      <c r="L642" s="41" t="str">
        <f>Gastos_Administrativos!A25</f>
        <v>GA-2023</v>
      </c>
    </row>
    <row r="643" spans="1:12" x14ac:dyDescent="0.35">
      <c r="A643" s="37" t="str">
        <f>"CE-GA-"&amp;TEXT(5023,"0000")</f>
        <v>CE-GA-5023</v>
      </c>
      <c r="B643" s="38" t="str">
        <f>"Causación Gasto"</f>
        <v>Causación Gasto</v>
      </c>
      <c r="C643" s="39">
        <f ca="1">Gastos_Administrativos!B25</f>
        <v>46054</v>
      </c>
      <c r="D643" s="74" t="str">
        <f>"236701"</f>
        <v>236701</v>
      </c>
      <c r="E643" s="38" t="str">
        <f>"Retención IVA - Régimen común 15%"</f>
        <v>Retención IVA - Régimen común 15%</v>
      </c>
      <c r="F643" s="38" t="str">
        <f ca="1">Gastos_Administrativos!D25</f>
        <v>Constructora Mantenimientos Bello</v>
      </c>
      <c r="G643" s="38" t="str">
        <f ca="1">Gastos_Administrativos!E25</f>
        <v>900789012-7</v>
      </c>
      <c r="H643" s="38" t="str">
        <f ca="1">"CC-2"&amp;TEXT(MATCH(Gastos_Administrativos!G25,{"Administración";"Ventas";"Bodega";"Logística";"Gerencia"},0),"00")&amp;" "&amp;Gastos_Administrativos!G25</f>
        <v>CC-203 Bodega</v>
      </c>
      <c r="I643" s="38" t="str">
        <f>"ReteIVA 15% sobre IVA factura "&amp;Gastos_Administrativos!A25</f>
        <v>ReteIVA 15% sobre IVA factura GA-2023</v>
      </c>
      <c r="J643" s="40">
        <f>0</f>
        <v>0</v>
      </c>
      <c r="K643" s="40">
        <f ca="1">Gastos_Administrativos!O25</f>
        <v>130402</v>
      </c>
      <c r="L643" s="41" t="str">
        <f>Gastos_Administrativos!A25</f>
        <v>GA-2023</v>
      </c>
    </row>
    <row r="644" spans="1:12" x14ac:dyDescent="0.35">
      <c r="A644" s="37" t="str">
        <f>"CE-GA-"&amp;TEXT(5023,"0000")</f>
        <v>CE-GA-5023</v>
      </c>
      <c r="B644" s="38" t="str">
        <f>"Causación Gasto"</f>
        <v>Causación Gasto</v>
      </c>
      <c r="C644" s="39">
        <f ca="1">Gastos_Administrativos!B25</f>
        <v>46054</v>
      </c>
      <c r="D644" s="74" t="str">
        <f>"236805"</f>
        <v>236805</v>
      </c>
      <c r="E644" s="38" t="str">
        <f>"Retención ICA - Medellín 11.04‰"</f>
        <v>Retención ICA - Medellín 11.04‰</v>
      </c>
      <c r="F644" s="38" t="str">
        <f ca="1">Gastos_Administrativos!D25</f>
        <v>Constructora Mantenimientos Bello</v>
      </c>
      <c r="G644" s="38" t="str">
        <f ca="1">Gastos_Administrativos!E25</f>
        <v>900789012-7</v>
      </c>
      <c r="H644" s="38" t="str">
        <f ca="1">"CC-2"&amp;TEXT(MATCH(Gastos_Administrativos!G25,{"Administración";"Ventas";"Bodega";"Logística";"Gerencia"},0),"00")&amp;" "&amp;Gastos_Administrativos!G25</f>
        <v>CC-203 Bodega</v>
      </c>
      <c r="I644" s="38" t="str">
        <f>"ReteICA Medellín sobre gasto "&amp;Gastos_Administrativos!A25</f>
        <v>ReteICA Medellín sobre gasto GA-2023</v>
      </c>
      <c r="J644" s="40">
        <f>0</f>
        <v>0</v>
      </c>
      <c r="K644" s="40">
        <f ca="1">Gastos_Administrativos!Q25</f>
        <v>50514</v>
      </c>
      <c r="L644" s="41" t="str">
        <f>Gastos_Administrativos!A25</f>
        <v>GA-2023</v>
      </c>
    </row>
    <row r="645" spans="1:12" x14ac:dyDescent="0.35">
      <c r="A645" s="37" t="str">
        <f>"CE-GA-"&amp;TEXT(5023,"0000")</f>
        <v>CE-GA-5023</v>
      </c>
      <c r="B645" s="38" t="str">
        <f>"Causación Gasto"</f>
        <v>Causación Gasto</v>
      </c>
      <c r="C645" s="39">
        <f ca="1">Gastos_Administrativos!B25</f>
        <v>46054</v>
      </c>
      <c r="D645" s="74" t="str">
        <f>"233525"</f>
        <v>233525</v>
      </c>
      <c r="E645" s="38" t="str">
        <f>"Costos y gastos por pagar"</f>
        <v>Costos y gastos por pagar</v>
      </c>
      <c r="F645" s="38" t="str">
        <f ca="1">Gastos_Administrativos!D25</f>
        <v>Constructora Mantenimientos Bello</v>
      </c>
      <c r="G645" s="38" t="str">
        <f ca="1">Gastos_Administrativos!E25</f>
        <v>900789012-7</v>
      </c>
      <c r="H645" s="38" t="str">
        <f ca="1">"CC-2"&amp;TEXT(MATCH(Gastos_Administrativos!G25,{"Administración";"Ventas";"Bodega";"Logística";"Gerencia"},0),"00")&amp;" "&amp;Gastos_Administrativos!G25</f>
        <v>CC-203 Bodega</v>
      </c>
      <c r="I645" s="38" t="str">
        <f ca="1">"CxP gasto - "&amp;Gastos_Administrativos!D25&amp;" - "&amp;Gastos_Administrativos!A25</f>
        <v>CxP gasto - Constructora Mantenimientos Bello - GA-2023</v>
      </c>
      <c r="J645" s="40">
        <f>0</f>
        <v>0</v>
      </c>
      <c r="K645" s="40">
        <f ca="1">Gastos_Administrativos!R25</f>
        <v>5103786</v>
      </c>
      <c r="L645" s="41" t="str">
        <f>Gastos_Administrativos!A25</f>
        <v>GA-2023</v>
      </c>
    </row>
    <row r="646" spans="1:12" x14ac:dyDescent="0.35">
      <c r="A646" s="32" t="str">
        <f>"CE-GA-"&amp;TEXT(5024,"0000")</f>
        <v>CE-GA-5024</v>
      </c>
      <c r="B646" s="33" t="str">
        <f>"Causación Gasto"</f>
        <v>Causación Gasto</v>
      </c>
      <c r="C646" s="34">
        <f ca="1">Gastos_Administrativos!B26</f>
        <v>46081</v>
      </c>
      <c r="D646" s="73" t="str">
        <f ca="1">CHOOSE(MATCH(Gastos_Administrativos!F26,{"Arrendamientos";"Servicios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511005</v>
      </c>
      <c r="E646" s="33" t="str">
        <f ca="1">CHOOSE(MATCH(Gastos_Administrativos!F26,{"Arrendamientos";"Servicios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Honorarios</v>
      </c>
      <c r="F646" s="33" t="str">
        <f ca="1">Gastos_Administrativos!D26</f>
        <v>Inmobiliaria El Poblado S.A.S.</v>
      </c>
      <c r="G646" s="33" t="str">
        <f ca="1">Gastos_Administrativos!E26</f>
        <v>900456789-1</v>
      </c>
      <c r="H646" s="33" t="str">
        <f ca="1">"CC-2"&amp;TEXT(MATCH(Gastos_Administrativos!G26,{"Administración";"Ventas";"Bodega";"Logística";"Gerencia"},0),"00")&amp;" "&amp;Gastos_Administrativos!G26</f>
        <v>CC-202 Ventas</v>
      </c>
      <c r="I646" s="33" t="str">
        <f ca="1">"Causación gasto - "&amp;Gastos_Administrativos!C26&amp;" - "&amp;Gastos_Administrativos!A26</f>
        <v>Causación gasto - Honorarios contables - GA-2024</v>
      </c>
      <c r="J646" s="35">
        <f ca="1">Gastos_Administrativos!H26</f>
        <v>3909100</v>
      </c>
      <c r="K646" s="35">
        <f>0</f>
        <v>0</v>
      </c>
      <c r="L646" s="36" t="str">
        <f>Gastos_Administrativos!A26</f>
        <v>GA-2024</v>
      </c>
    </row>
    <row r="647" spans="1:12" x14ac:dyDescent="0.35">
      <c r="A647" s="32" t="str">
        <f>"CE-GA-"&amp;TEXT(5024,"0000")</f>
        <v>CE-GA-5024</v>
      </c>
      <c r="B647" s="33" t="str">
        <f>"Causación Gasto"</f>
        <v>Causación Gasto</v>
      </c>
      <c r="C647" s="34">
        <f ca="1">Gastos_Administrativos!B26</f>
        <v>46081</v>
      </c>
      <c r="D647" s="73" t="str">
        <f>"240810"</f>
        <v>240810</v>
      </c>
      <c r="E647" s="33" t="str">
        <f>"IVA descontable - servicios/compras"</f>
        <v>IVA descontable - servicios/compras</v>
      </c>
      <c r="F647" s="33" t="str">
        <f ca="1">Gastos_Administrativos!D26</f>
        <v>Inmobiliaria El Poblado S.A.S.</v>
      </c>
      <c r="G647" s="33" t="str">
        <f ca="1">Gastos_Administrativos!E26</f>
        <v>900456789-1</v>
      </c>
      <c r="H647" s="33" t="str">
        <f ca="1">"CC-2"&amp;TEXT(MATCH(Gastos_Administrativos!G26,{"Administración";"Ventas";"Bodega";"Logística";"Gerencia"},0),"00")&amp;" "&amp;Gastos_Administrativos!G26</f>
        <v>CC-202 Ventas</v>
      </c>
      <c r="I647" s="33" t="str">
        <f>"IVA descontable factura "&amp;Gastos_Administrativos!A26</f>
        <v>IVA descontable factura GA-2024</v>
      </c>
      <c r="J647" s="35">
        <f ca="1">Gastos_Administrativos!J26</f>
        <v>742729</v>
      </c>
      <c r="K647" s="35">
        <f>0</f>
        <v>0</v>
      </c>
      <c r="L647" s="36" t="str">
        <f>Gastos_Administrativos!A26</f>
        <v>GA-2024</v>
      </c>
    </row>
    <row r="648" spans="1:12" x14ac:dyDescent="0.35">
      <c r="A648" s="32" t="str">
        <f>"CE-GA-"&amp;TEXT(5024,"0000")</f>
        <v>CE-GA-5024</v>
      </c>
      <c r="B648" s="33" t="str">
        <f>"Causación Gasto"</f>
        <v>Causación Gasto</v>
      </c>
      <c r="C648" s="34">
        <f ca="1">Gastos_Administrativos!B26</f>
        <v>46081</v>
      </c>
      <c r="D648" s="73" t="str">
        <f ca="1">IF(Gastos_Administrativos!L26=0,"236540",CHOOSE(MATCH(Gastos_Administrativos!F26,{"Arrendamientos";"Servicios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236515</v>
      </c>
      <c r="E648" s="33" t="str">
        <f ca="1">"ReteFuente "&amp;TEXT(Gastos_Administrativos!L26,"0.00%")&amp;" - "&amp;Gastos_Administrativos!F26</f>
        <v>ReteFuente 011% - Honorarios</v>
      </c>
      <c r="F648" s="33" t="str">
        <f ca="1">Gastos_Administrativos!D26</f>
        <v>Inmobiliaria El Poblado S.A.S.</v>
      </c>
      <c r="G648" s="33" t="str">
        <f ca="1">Gastos_Administrativos!E26</f>
        <v>900456789-1</v>
      </c>
      <c r="H648" s="33" t="str">
        <f ca="1">"CC-2"&amp;TEXT(MATCH(Gastos_Administrativos!G26,{"Administración";"Ventas";"Bodega";"Logística";"Gerencia"},0),"00")&amp;" "&amp;Gastos_Administrativos!G26</f>
        <v>CC-202 Ventas</v>
      </c>
      <c r="I648" s="33" t="str">
        <f ca="1">"ReteFuente "&amp;Gastos_Administrativos!C26&amp;" - "&amp;Gastos_Administrativos!A26</f>
        <v>ReteFuente Honorarios contables - GA-2024</v>
      </c>
      <c r="J648" s="35">
        <f>0</f>
        <v>0</v>
      </c>
      <c r="K648" s="35">
        <f ca="1">Gastos_Administrativos!M26</f>
        <v>430001</v>
      </c>
      <c r="L648" s="36" t="str">
        <f>Gastos_Administrativos!A26</f>
        <v>GA-2024</v>
      </c>
    </row>
    <row r="649" spans="1:12" x14ac:dyDescent="0.35">
      <c r="A649" s="32" t="str">
        <f>"CE-GA-"&amp;TEXT(5024,"0000")</f>
        <v>CE-GA-5024</v>
      </c>
      <c r="B649" s="33" t="str">
        <f>"Causación Gasto"</f>
        <v>Causación Gasto</v>
      </c>
      <c r="C649" s="34">
        <f ca="1">Gastos_Administrativos!B26</f>
        <v>46081</v>
      </c>
      <c r="D649" s="73" t="str">
        <f>"236701"</f>
        <v>236701</v>
      </c>
      <c r="E649" s="33" t="str">
        <f>"Retención IVA - Régimen común 15%"</f>
        <v>Retención IVA - Régimen común 15%</v>
      </c>
      <c r="F649" s="33" t="str">
        <f ca="1">Gastos_Administrativos!D26</f>
        <v>Inmobiliaria El Poblado S.A.S.</v>
      </c>
      <c r="G649" s="33" t="str">
        <f ca="1">Gastos_Administrativos!E26</f>
        <v>900456789-1</v>
      </c>
      <c r="H649" s="33" t="str">
        <f ca="1">"CC-2"&amp;TEXT(MATCH(Gastos_Administrativos!G26,{"Administración";"Ventas";"Bodega";"Logística";"Gerencia"},0),"00")&amp;" "&amp;Gastos_Administrativos!G26</f>
        <v>CC-202 Ventas</v>
      </c>
      <c r="I649" s="33" t="str">
        <f>"ReteIVA 15% sobre IVA factura "&amp;Gastos_Administrativos!A26</f>
        <v>ReteIVA 15% sobre IVA factura GA-2024</v>
      </c>
      <c r="J649" s="35">
        <f>0</f>
        <v>0</v>
      </c>
      <c r="K649" s="35">
        <f ca="1">Gastos_Administrativos!O26</f>
        <v>111409</v>
      </c>
      <c r="L649" s="36" t="str">
        <f>Gastos_Administrativos!A26</f>
        <v>GA-2024</v>
      </c>
    </row>
    <row r="650" spans="1:12" x14ac:dyDescent="0.35">
      <c r="A650" s="32" t="str">
        <f>"CE-GA-"&amp;TEXT(5024,"0000")</f>
        <v>CE-GA-5024</v>
      </c>
      <c r="B650" s="33" t="str">
        <f>"Causación Gasto"</f>
        <v>Causación Gasto</v>
      </c>
      <c r="C650" s="34">
        <f ca="1">Gastos_Administrativos!B26</f>
        <v>46081</v>
      </c>
      <c r="D650" s="73" t="str">
        <f>"236805"</f>
        <v>236805</v>
      </c>
      <c r="E650" s="33" t="str">
        <f>"Retención ICA - Medellín 11.04‰"</f>
        <v>Retención ICA - Medellín 11.04‰</v>
      </c>
      <c r="F650" s="33" t="str">
        <f ca="1">Gastos_Administrativos!D26</f>
        <v>Inmobiliaria El Poblado S.A.S.</v>
      </c>
      <c r="G650" s="33" t="str">
        <f ca="1">Gastos_Administrativos!E26</f>
        <v>900456789-1</v>
      </c>
      <c r="H650" s="33" t="str">
        <f ca="1">"CC-2"&amp;TEXT(MATCH(Gastos_Administrativos!G26,{"Administración";"Ventas";"Bodega";"Logística";"Gerencia"},0),"00")&amp;" "&amp;Gastos_Administrativos!G26</f>
        <v>CC-202 Ventas</v>
      </c>
      <c r="I650" s="33" t="str">
        <f>"ReteICA Medellín sobre gasto "&amp;Gastos_Administrativos!A26</f>
        <v>ReteICA Medellín sobre gasto GA-2024</v>
      </c>
      <c r="J650" s="35">
        <f>0</f>
        <v>0</v>
      </c>
      <c r="K650" s="35">
        <f ca="1">Gastos_Administrativos!Q26</f>
        <v>43156</v>
      </c>
      <c r="L650" s="36" t="str">
        <f>Gastos_Administrativos!A26</f>
        <v>GA-2024</v>
      </c>
    </row>
    <row r="651" spans="1:12" x14ac:dyDescent="0.35">
      <c r="A651" s="32" t="str">
        <f>"CE-GA-"&amp;TEXT(5024,"0000")</f>
        <v>CE-GA-5024</v>
      </c>
      <c r="B651" s="33" t="str">
        <f>"Causación Gasto"</f>
        <v>Causación Gasto</v>
      </c>
      <c r="C651" s="34">
        <f ca="1">Gastos_Administrativos!B26</f>
        <v>46081</v>
      </c>
      <c r="D651" s="73" t="str">
        <f>"233525"</f>
        <v>233525</v>
      </c>
      <c r="E651" s="33" t="str">
        <f>"Costos y gastos por pagar"</f>
        <v>Costos y gastos por pagar</v>
      </c>
      <c r="F651" s="33" t="str">
        <f ca="1">Gastos_Administrativos!D26</f>
        <v>Inmobiliaria El Poblado S.A.S.</v>
      </c>
      <c r="G651" s="33" t="str">
        <f ca="1">Gastos_Administrativos!E26</f>
        <v>900456789-1</v>
      </c>
      <c r="H651" s="33" t="str">
        <f ca="1">"CC-2"&amp;TEXT(MATCH(Gastos_Administrativos!G26,{"Administración";"Ventas";"Bodega";"Logística";"Gerencia"},0),"00")&amp;" "&amp;Gastos_Administrativos!G26</f>
        <v>CC-202 Ventas</v>
      </c>
      <c r="I651" s="33" t="str">
        <f ca="1">"CxP gasto - "&amp;Gastos_Administrativos!D26&amp;" - "&amp;Gastos_Administrativos!A26</f>
        <v>CxP gasto - Inmobiliaria El Poblado S.A.S. - GA-2024</v>
      </c>
      <c r="J651" s="35">
        <f>0</f>
        <v>0</v>
      </c>
      <c r="K651" s="35">
        <f ca="1">Gastos_Administrativos!R26</f>
        <v>4067263</v>
      </c>
      <c r="L651" s="36" t="str">
        <f>Gastos_Administrativos!A26</f>
        <v>GA-2024</v>
      </c>
    </row>
    <row r="652" spans="1:12" x14ac:dyDescent="0.35">
      <c r="A652" s="37" t="str">
        <f>"CE-GA-"&amp;TEXT(5025,"0000")</f>
        <v>CE-GA-5025</v>
      </c>
      <c r="B652" s="38" t="str">
        <f>"Causación Gasto"</f>
        <v>Causación Gasto</v>
      </c>
      <c r="C652" s="39">
        <f ca="1">Gastos_Administrativos!B27</f>
        <v>46130</v>
      </c>
      <c r="D652" s="74" t="str">
        <f ca="1">CHOOSE(MATCH(Gastos_Administrativos!F27,{"Arrendamientos";"Servicios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514505</v>
      </c>
      <c r="E652" s="38" t="str">
        <f ca="1">CHOOSE(MATCH(Gastos_Administrativos!F27,{"Arrendamientos";"Servicios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Mantenimiento y reparaciones</v>
      </c>
      <c r="F652" s="38" t="str">
        <f ca="1">Gastos_Administrativos!D27</f>
        <v>Vigilancia Andina Seguridad Ltda.</v>
      </c>
      <c r="G652" s="38" t="str">
        <f ca="1">Gastos_Administrativos!E27</f>
        <v>800678901-5</v>
      </c>
      <c r="H652" s="38" t="str">
        <f ca="1">"CC-2"&amp;TEXT(MATCH(Gastos_Administrativos!G27,{"Administración";"Ventas";"Bodega";"Logística";"Gerencia"},0),"00")&amp;" "&amp;Gastos_Administrativos!G27</f>
        <v>CC-203 Bodega</v>
      </c>
      <c r="I652" s="38" t="str">
        <f ca="1">"Causación gasto - "&amp;Gastos_Administrativos!C27&amp;" - "&amp;Gastos_Administrativos!A27</f>
        <v>Causación gasto - Servicio de fumigación local - GA-2025</v>
      </c>
      <c r="J652" s="40">
        <f ca="1">Gastos_Administrativos!H27</f>
        <v>5597700</v>
      </c>
      <c r="K652" s="40">
        <f>0</f>
        <v>0</v>
      </c>
      <c r="L652" s="41" t="str">
        <f>Gastos_Administrativos!A27</f>
        <v>GA-2025</v>
      </c>
    </row>
    <row r="653" spans="1:12" x14ac:dyDescent="0.35">
      <c r="A653" s="37" t="str">
        <f>"CE-GA-"&amp;TEXT(5025,"0000")</f>
        <v>CE-GA-5025</v>
      </c>
      <c r="B653" s="38" t="str">
        <f>"Causación Gasto"</f>
        <v>Causación Gasto</v>
      </c>
      <c r="C653" s="39">
        <f ca="1">Gastos_Administrativos!B27</f>
        <v>46130</v>
      </c>
      <c r="D653" s="74" t="str">
        <f>"240810"</f>
        <v>240810</v>
      </c>
      <c r="E653" s="38" t="str">
        <f>"IVA descontable - servicios/compras"</f>
        <v>IVA descontable - servicios/compras</v>
      </c>
      <c r="F653" s="38" t="str">
        <f ca="1">Gastos_Administrativos!D27</f>
        <v>Vigilancia Andina Seguridad Ltda.</v>
      </c>
      <c r="G653" s="38" t="str">
        <f ca="1">Gastos_Administrativos!E27</f>
        <v>800678901-5</v>
      </c>
      <c r="H653" s="38" t="str">
        <f ca="1">"CC-2"&amp;TEXT(MATCH(Gastos_Administrativos!G27,{"Administración";"Ventas";"Bodega";"Logística";"Gerencia"},0),"00")&amp;" "&amp;Gastos_Administrativos!G27</f>
        <v>CC-203 Bodega</v>
      </c>
      <c r="I653" s="38" t="str">
        <f>"IVA descontable factura "&amp;Gastos_Administrativos!A27</f>
        <v>IVA descontable factura GA-2025</v>
      </c>
      <c r="J653" s="40">
        <f ca="1">Gastos_Administrativos!J27</f>
        <v>1063563</v>
      </c>
      <c r="K653" s="40">
        <f>0</f>
        <v>0</v>
      </c>
      <c r="L653" s="41" t="str">
        <f>Gastos_Administrativos!A27</f>
        <v>GA-2025</v>
      </c>
    </row>
    <row r="654" spans="1:12" x14ac:dyDescent="0.35">
      <c r="A654" s="37" t="str">
        <f>"CE-GA-"&amp;TEXT(5025,"0000")</f>
        <v>CE-GA-5025</v>
      </c>
      <c r="B654" s="38" t="str">
        <f>"Causación Gasto"</f>
        <v>Causación Gasto</v>
      </c>
      <c r="C654" s="39">
        <f ca="1">Gastos_Administrativos!B27</f>
        <v>46130</v>
      </c>
      <c r="D654" s="74" t="str">
        <f ca="1">IF(Gastos_Administrativos!L27=0,"236540",CHOOSE(MATCH(Gastos_Administrativos!F27,{"Arrendamientos";"Servicios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236530</v>
      </c>
      <c r="E654" s="38" t="str">
        <f ca="1">"ReteFuente "&amp;TEXT(Gastos_Administrativos!L27,"0.00%")&amp;" - "&amp;Gastos_Administrativos!F27</f>
        <v>ReteFuente 004% - Mantenimiento</v>
      </c>
      <c r="F654" s="38" t="str">
        <f ca="1">Gastos_Administrativos!D27</f>
        <v>Vigilancia Andina Seguridad Ltda.</v>
      </c>
      <c r="G654" s="38" t="str">
        <f ca="1">Gastos_Administrativos!E27</f>
        <v>800678901-5</v>
      </c>
      <c r="H654" s="38" t="str">
        <f ca="1">"CC-2"&amp;TEXT(MATCH(Gastos_Administrativos!G27,{"Administración";"Ventas";"Bodega";"Logística";"Gerencia"},0),"00")&amp;" "&amp;Gastos_Administrativos!G27</f>
        <v>CC-203 Bodega</v>
      </c>
      <c r="I654" s="38" t="str">
        <f ca="1">"ReteFuente "&amp;Gastos_Administrativos!C27&amp;" - "&amp;Gastos_Administrativos!A27</f>
        <v>ReteFuente Servicio de fumigación local - GA-2025</v>
      </c>
      <c r="J654" s="40">
        <f>0</f>
        <v>0</v>
      </c>
      <c r="K654" s="40">
        <f ca="1">Gastos_Administrativos!M27</f>
        <v>223908</v>
      </c>
      <c r="L654" s="41" t="str">
        <f>Gastos_Administrativos!A27</f>
        <v>GA-2025</v>
      </c>
    </row>
    <row r="655" spans="1:12" x14ac:dyDescent="0.35">
      <c r="A655" s="37" t="str">
        <f>"CE-GA-"&amp;TEXT(5025,"0000")</f>
        <v>CE-GA-5025</v>
      </c>
      <c r="B655" s="38" t="str">
        <f>"Causación Gasto"</f>
        <v>Causación Gasto</v>
      </c>
      <c r="C655" s="39">
        <f ca="1">Gastos_Administrativos!B27</f>
        <v>46130</v>
      </c>
      <c r="D655" s="74" t="str">
        <f>"236701"</f>
        <v>236701</v>
      </c>
      <c r="E655" s="38" t="str">
        <f>"Retención IVA - Régimen común 15%"</f>
        <v>Retención IVA - Régimen común 15%</v>
      </c>
      <c r="F655" s="38" t="str">
        <f ca="1">Gastos_Administrativos!D27</f>
        <v>Vigilancia Andina Seguridad Ltda.</v>
      </c>
      <c r="G655" s="38" t="str">
        <f ca="1">Gastos_Administrativos!E27</f>
        <v>800678901-5</v>
      </c>
      <c r="H655" s="38" t="str">
        <f ca="1">"CC-2"&amp;TEXT(MATCH(Gastos_Administrativos!G27,{"Administración";"Ventas";"Bodega";"Logística";"Gerencia"},0),"00")&amp;" "&amp;Gastos_Administrativos!G27</f>
        <v>CC-203 Bodega</v>
      </c>
      <c r="I655" s="38" t="str">
        <f>"ReteIVA 15% sobre IVA factura "&amp;Gastos_Administrativos!A27</f>
        <v>ReteIVA 15% sobre IVA factura GA-2025</v>
      </c>
      <c r="J655" s="40">
        <f>0</f>
        <v>0</v>
      </c>
      <c r="K655" s="40">
        <f ca="1">Gastos_Administrativos!O27</f>
        <v>159534</v>
      </c>
      <c r="L655" s="41" t="str">
        <f>Gastos_Administrativos!A27</f>
        <v>GA-2025</v>
      </c>
    </row>
    <row r="656" spans="1:12" x14ac:dyDescent="0.35">
      <c r="A656" s="37" t="str">
        <f>"CE-GA-"&amp;TEXT(5025,"0000")</f>
        <v>CE-GA-5025</v>
      </c>
      <c r="B656" s="38" t="str">
        <f>"Causación Gasto"</f>
        <v>Causación Gasto</v>
      </c>
      <c r="C656" s="39">
        <f ca="1">Gastos_Administrativos!B27</f>
        <v>46130</v>
      </c>
      <c r="D656" s="74" t="str">
        <f>"236805"</f>
        <v>236805</v>
      </c>
      <c r="E656" s="38" t="str">
        <f>"Retención ICA - Medellín 11.04‰"</f>
        <v>Retención ICA - Medellín 11.04‰</v>
      </c>
      <c r="F656" s="38" t="str">
        <f ca="1">Gastos_Administrativos!D27</f>
        <v>Vigilancia Andina Seguridad Ltda.</v>
      </c>
      <c r="G656" s="38" t="str">
        <f ca="1">Gastos_Administrativos!E27</f>
        <v>800678901-5</v>
      </c>
      <c r="H656" s="38" t="str">
        <f ca="1">"CC-2"&amp;TEXT(MATCH(Gastos_Administrativos!G27,{"Administración";"Ventas";"Bodega";"Logística";"Gerencia"},0),"00")&amp;" "&amp;Gastos_Administrativos!G27</f>
        <v>CC-203 Bodega</v>
      </c>
      <c r="I656" s="38" t="str">
        <f>"ReteICA Medellín sobre gasto "&amp;Gastos_Administrativos!A27</f>
        <v>ReteICA Medellín sobre gasto GA-2025</v>
      </c>
      <c r="J656" s="40">
        <f>0</f>
        <v>0</v>
      </c>
      <c r="K656" s="40">
        <f ca="1">Gastos_Administrativos!Q27</f>
        <v>61799</v>
      </c>
      <c r="L656" s="41" t="str">
        <f>Gastos_Administrativos!A27</f>
        <v>GA-2025</v>
      </c>
    </row>
    <row r="657" spans="1:12" x14ac:dyDescent="0.35">
      <c r="A657" s="37" t="str">
        <f>"CE-GA-"&amp;TEXT(5025,"0000")</f>
        <v>CE-GA-5025</v>
      </c>
      <c r="B657" s="38" t="str">
        <f>"Causación Gasto"</f>
        <v>Causación Gasto</v>
      </c>
      <c r="C657" s="39">
        <f ca="1">Gastos_Administrativos!B27</f>
        <v>46130</v>
      </c>
      <c r="D657" s="74" t="str">
        <f>"233525"</f>
        <v>233525</v>
      </c>
      <c r="E657" s="38" t="str">
        <f>"Costos y gastos por pagar"</f>
        <v>Costos y gastos por pagar</v>
      </c>
      <c r="F657" s="38" t="str">
        <f ca="1">Gastos_Administrativos!D27</f>
        <v>Vigilancia Andina Seguridad Ltda.</v>
      </c>
      <c r="G657" s="38" t="str">
        <f ca="1">Gastos_Administrativos!E27</f>
        <v>800678901-5</v>
      </c>
      <c r="H657" s="38" t="str">
        <f ca="1">"CC-2"&amp;TEXT(MATCH(Gastos_Administrativos!G27,{"Administración";"Ventas";"Bodega";"Logística";"Gerencia"},0),"00")&amp;" "&amp;Gastos_Administrativos!G27</f>
        <v>CC-203 Bodega</v>
      </c>
      <c r="I657" s="38" t="str">
        <f ca="1">"CxP gasto - "&amp;Gastos_Administrativos!D27&amp;" - "&amp;Gastos_Administrativos!A27</f>
        <v>CxP gasto - Vigilancia Andina Seguridad Ltda. - GA-2025</v>
      </c>
      <c r="J657" s="40">
        <f>0</f>
        <v>0</v>
      </c>
      <c r="K657" s="40">
        <f ca="1">Gastos_Administrativos!R27</f>
        <v>6216022</v>
      </c>
      <c r="L657" s="41" t="str">
        <f>Gastos_Administrativos!A27</f>
        <v>GA-2025</v>
      </c>
    </row>
    <row r="658" spans="1:12" x14ac:dyDescent="0.35">
      <c r="A658" s="32" t="str">
        <f>"CE-GA-"&amp;TEXT(5026,"0000")</f>
        <v>CE-GA-5026</v>
      </c>
      <c r="B658" s="33" t="str">
        <f>"Causación Gasto"</f>
        <v>Causación Gasto</v>
      </c>
      <c r="C658" s="34">
        <f ca="1">Gastos_Administrativos!B28</f>
        <v>46132</v>
      </c>
      <c r="D658" s="73" t="str">
        <f ca="1">CHOOSE(MATCH(Gastos_Administrativos!F28,{"Arrendamientos";"Servicios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513525</v>
      </c>
      <c r="E658" s="33" t="str">
        <f ca="1">CHOOSE(MATCH(Gastos_Administrativos!F28,{"Arrendamientos";"Servicios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Servicios públicos</v>
      </c>
      <c r="F658" s="33" t="str">
        <f ca="1">Gastos_Administrativos!D28</f>
        <v>Centro de Capacitación SST Antioquia</v>
      </c>
      <c r="G658" s="33" t="str">
        <f ca="1">Gastos_Administrativos!E28</f>
        <v>901678901-3</v>
      </c>
      <c r="H658" s="33" t="str">
        <f ca="1">"CC-2"&amp;TEXT(MATCH(Gastos_Administrativos!G28,{"Administración";"Ventas";"Bodega";"Logística";"Gerencia"},0),"00")&amp;" "&amp;Gastos_Administrativos!G28</f>
        <v>CC-202 Ventas</v>
      </c>
      <c r="I658" s="33" t="str">
        <f ca="1">"Causación gasto - "&amp;Gastos_Administrativos!C28&amp;" - "&amp;Gastos_Administrativos!A28</f>
        <v>Causación gasto - Servicio de internet y telefonía - GA-2026</v>
      </c>
      <c r="J658" s="35">
        <f ca="1">Gastos_Administrativos!H28</f>
        <v>7968800</v>
      </c>
      <c r="K658" s="35">
        <f>0</f>
        <v>0</v>
      </c>
      <c r="L658" s="36" t="str">
        <f>Gastos_Administrativos!A28</f>
        <v>GA-2026</v>
      </c>
    </row>
    <row r="659" spans="1:12" x14ac:dyDescent="0.35">
      <c r="A659" s="32" t="str">
        <f>"CE-GA-"&amp;TEXT(5026,"0000")</f>
        <v>CE-GA-5026</v>
      </c>
      <c r="B659" s="33" t="str">
        <f>"Causación Gasto"</f>
        <v>Causación Gasto</v>
      </c>
      <c r="C659" s="34">
        <f ca="1">Gastos_Administrativos!B28</f>
        <v>46132</v>
      </c>
      <c r="D659" s="73" t="str">
        <f>"240810"</f>
        <v>240810</v>
      </c>
      <c r="E659" s="33" t="str">
        <f>"IVA descontable - servicios/compras"</f>
        <v>IVA descontable - servicios/compras</v>
      </c>
      <c r="F659" s="33" t="str">
        <f ca="1">Gastos_Administrativos!D28</f>
        <v>Centro de Capacitación SST Antioquia</v>
      </c>
      <c r="G659" s="33" t="str">
        <f ca="1">Gastos_Administrativos!E28</f>
        <v>901678901-3</v>
      </c>
      <c r="H659" s="33" t="str">
        <f ca="1">"CC-2"&amp;TEXT(MATCH(Gastos_Administrativos!G28,{"Administración";"Ventas";"Bodega";"Logística";"Gerencia"},0),"00")&amp;" "&amp;Gastos_Administrativos!G28</f>
        <v>CC-202 Ventas</v>
      </c>
      <c r="I659" s="33" t="str">
        <f>"IVA descontable factura "&amp;Gastos_Administrativos!A28</f>
        <v>IVA descontable factura GA-2026</v>
      </c>
      <c r="J659" s="35">
        <f ca="1">Gastos_Administrativos!J28</f>
        <v>0</v>
      </c>
      <c r="K659" s="35">
        <f>0</f>
        <v>0</v>
      </c>
      <c r="L659" s="36" t="str">
        <f>Gastos_Administrativos!A28</f>
        <v>GA-2026</v>
      </c>
    </row>
    <row r="660" spans="1:12" x14ac:dyDescent="0.35">
      <c r="A660" s="32" t="str">
        <f>"CE-GA-"&amp;TEXT(5026,"0000")</f>
        <v>CE-GA-5026</v>
      </c>
      <c r="B660" s="33" t="str">
        <f>"Causación Gasto"</f>
        <v>Causación Gasto</v>
      </c>
      <c r="C660" s="34">
        <f ca="1">Gastos_Administrativos!B28</f>
        <v>46132</v>
      </c>
      <c r="D660" s="73" t="str">
        <f ca="1">IF(Gastos_Administrativos!L28=0,"236540",CHOOSE(MATCH(Gastos_Administrativos!F28,{"Arrendamientos";"Servicios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660" s="33" t="str">
        <f ca="1">"ReteFuente "&amp;TEXT(Gastos_Administrativos!L28,"0.00%")&amp;" - "&amp;Gastos_Administrativos!F28</f>
        <v>ReteFuente 004% - Servicios Públicos</v>
      </c>
      <c r="F660" s="33" t="str">
        <f ca="1">Gastos_Administrativos!D28</f>
        <v>Centro de Capacitación SST Antioquia</v>
      </c>
      <c r="G660" s="33" t="str">
        <f ca="1">Gastos_Administrativos!E28</f>
        <v>901678901-3</v>
      </c>
      <c r="H660" s="33" t="str">
        <f ca="1">"CC-2"&amp;TEXT(MATCH(Gastos_Administrativos!G28,{"Administración";"Ventas";"Bodega";"Logística";"Gerencia"},0),"00")&amp;" "&amp;Gastos_Administrativos!G28</f>
        <v>CC-202 Ventas</v>
      </c>
      <c r="I660" s="33" t="str">
        <f ca="1">"ReteFuente "&amp;Gastos_Administrativos!C28&amp;" - "&amp;Gastos_Administrativos!A28</f>
        <v>ReteFuente Servicio de internet y telefonía - GA-2026</v>
      </c>
      <c r="J660" s="35">
        <f>0</f>
        <v>0</v>
      </c>
      <c r="K660" s="35">
        <f ca="1">Gastos_Administrativos!M28</f>
        <v>318752</v>
      </c>
      <c r="L660" s="36" t="str">
        <f>Gastos_Administrativos!A28</f>
        <v>GA-2026</v>
      </c>
    </row>
    <row r="661" spans="1:12" x14ac:dyDescent="0.35">
      <c r="A661" s="32" t="str">
        <f>"CE-GA-"&amp;TEXT(5026,"0000")</f>
        <v>CE-GA-5026</v>
      </c>
      <c r="B661" s="33" t="str">
        <f>"Causación Gasto"</f>
        <v>Causación Gasto</v>
      </c>
      <c r="C661" s="34">
        <f ca="1">Gastos_Administrativos!B28</f>
        <v>46132</v>
      </c>
      <c r="D661" s="73" t="str">
        <f>"236701"</f>
        <v>236701</v>
      </c>
      <c r="E661" s="33" t="str">
        <f>"Retención IVA - Régimen común 15%"</f>
        <v>Retención IVA - Régimen común 15%</v>
      </c>
      <c r="F661" s="33" t="str">
        <f ca="1">Gastos_Administrativos!D28</f>
        <v>Centro de Capacitación SST Antioquia</v>
      </c>
      <c r="G661" s="33" t="str">
        <f ca="1">Gastos_Administrativos!E28</f>
        <v>901678901-3</v>
      </c>
      <c r="H661" s="33" t="str">
        <f ca="1">"CC-2"&amp;TEXT(MATCH(Gastos_Administrativos!G28,{"Administración";"Ventas";"Bodega";"Logística";"Gerencia"},0),"00")&amp;" "&amp;Gastos_Administrativos!G28</f>
        <v>CC-202 Ventas</v>
      </c>
      <c r="I661" s="33" t="str">
        <f>"ReteIVA 15% sobre IVA factura "&amp;Gastos_Administrativos!A28</f>
        <v>ReteIVA 15% sobre IVA factura GA-2026</v>
      </c>
      <c r="J661" s="35">
        <f>0</f>
        <v>0</v>
      </c>
      <c r="K661" s="35">
        <f ca="1">Gastos_Administrativos!O28</f>
        <v>0</v>
      </c>
      <c r="L661" s="36" t="str">
        <f>Gastos_Administrativos!A28</f>
        <v>GA-2026</v>
      </c>
    </row>
    <row r="662" spans="1:12" x14ac:dyDescent="0.35">
      <c r="A662" s="32" t="str">
        <f>"CE-GA-"&amp;TEXT(5026,"0000")</f>
        <v>CE-GA-5026</v>
      </c>
      <c r="B662" s="33" t="str">
        <f>"Causación Gasto"</f>
        <v>Causación Gasto</v>
      </c>
      <c r="C662" s="34">
        <f ca="1">Gastos_Administrativos!B28</f>
        <v>46132</v>
      </c>
      <c r="D662" s="73" t="str">
        <f>"236805"</f>
        <v>236805</v>
      </c>
      <c r="E662" s="33" t="str">
        <f>"Retención ICA - Medellín 11.04‰"</f>
        <v>Retención ICA - Medellín 11.04‰</v>
      </c>
      <c r="F662" s="33" t="str">
        <f ca="1">Gastos_Administrativos!D28</f>
        <v>Centro de Capacitación SST Antioquia</v>
      </c>
      <c r="G662" s="33" t="str">
        <f ca="1">Gastos_Administrativos!E28</f>
        <v>901678901-3</v>
      </c>
      <c r="H662" s="33" t="str">
        <f ca="1">"CC-2"&amp;TEXT(MATCH(Gastos_Administrativos!G28,{"Administración";"Ventas";"Bodega";"Logística";"Gerencia"},0),"00")&amp;" "&amp;Gastos_Administrativos!G28</f>
        <v>CC-202 Ventas</v>
      </c>
      <c r="I662" s="33" t="str">
        <f>"ReteICA Medellín sobre gasto "&amp;Gastos_Administrativos!A28</f>
        <v>ReteICA Medellín sobre gasto GA-2026</v>
      </c>
      <c r="J662" s="35">
        <f>0</f>
        <v>0</v>
      </c>
      <c r="K662" s="35">
        <f ca="1">Gastos_Administrativos!Q28</f>
        <v>87976</v>
      </c>
      <c r="L662" s="36" t="str">
        <f>Gastos_Administrativos!A28</f>
        <v>GA-2026</v>
      </c>
    </row>
    <row r="663" spans="1:12" x14ac:dyDescent="0.35">
      <c r="A663" s="32" t="str">
        <f>"CE-GA-"&amp;TEXT(5026,"0000")</f>
        <v>CE-GA-5026</v>
      </c>
      <c r="B663" s="33" t="str">
        <f>"Causación Gasto"</f>
        <v>Causación Gasto</v>
      </c>
      <c r="C663" s="34">
        <f ca="1">Gastos_Administrativos!B28</f>
        <v>46132</v>
      </c>
      <c r="D663" s="73" t="str">
        <f>"233525"</f>
        <v>233525</v>
      </c>
      <c r="E663" s="33" t="str">
        <f>"Costos y gastos por pagar"</f>
        <v>Costos y gastos por pagar</v>
      </c>
      <c r="F663" s="33" t="str">
        <f ca="1">Gastos_Administrativos!D28</f>
        <v>Centro de Capacitación SST Antioquia</v>
      </c>
      <c r="G663" s="33" t="str">
        <f ca="1">Gastos_Administrativos!E28</f>
        <v>901678901-3</v>
      </c>
      <c r="H663" s="33" t="str">
        <f ca="1">"CC-2"&amp;TEXT(MATCH(Gastos_Administrativos!G28,{"Administración";"Ventas";"Bodega";"Logística";"Gerencia"},0),"00")&amp;" "&amp;Gastos_Administrativos!G28</f>
        <v>CC-202 Ventas</v>
      </c>
      <c r="I663" s="33" t="str">
        <f ca="1">"CxP gasto - "&amp;Gastos_Administrativos!D28&amp;" - "&amp;Gastos_Administrativos!A28</f>
        <v>CxP gasto - Centro de Capacitación SST Antioquia - GA-2026</v>
      </c>
      <c r="J663" s="35">
        <f>0</f>
        <v>0</v>
      </c>
      <c r="K663" s="35">
        <f ca="1">Gastos_Administrativos!R28</f>
        <v>7562072</v>
      </c>
      <c r="L663" s="36" t="str">
        <f>Gastos_Administrativos!A28</f>
        <v>GA-2026</v>
      </c>
    </row>
    <row r="664" spans="1:12" x14ac:dyDescent="0.35">
      <c r="A664" s="37" t="str">
        <f>"CE-GA-"&amp;TEXT(5027,"0000")</f>
        <v>CE-GA-5027</v>
      </c>
      <c r="B664" s="38" t="str">
        <f>"Causación Gasto"</f>
        <v>Causación Gasto</v>
      </c>
      <c r="C664" s="39">
        <f ca="1">Gastos_Administrativos!B29</f>
        <v>46038</v>
      </c>
      <c r="D664" s="74" t="str">
        <f ca="1">CHOOSE(MATCH(Gastos_Administrativos!F29,{"Arrendamientos";"Servicios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519525</v>
      </c>
      <c r="E664" s="38" t="str">
        <f ca="1">CHOOSE(MATCH(Gastos_Administrativos!F29,{"Arrendamientos";"Servicios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Útiles, papelería y fotocopias</v>
      </c>
      <c r="F664" s="38" t="str">
        <f ca="1">Gastos_Administrativos!D29</f>
        <v>Papelería La Candelaria S.A.S.</v>
      </c>
      <c r="G664" s="38" t="str">
        <f ca="1">Gastos_Administrativos!E29</f>
        <v>890567123-8</v>
      </c>
      <c r="H664" s="38" t="str">
        <f ca="1">"CC-2"&amp;TEXT(MATCH(Gastos_Administrativos!G29,{"Administración";"Ventas";"Bodega";"Logística";"Gerencia"},0),"00")&amp;" "&amp;Gastos_Administrativos!G29</f>
        <v>CC-205 Gerencia</v>
      </c>
      <c r="I664" s="38" t="str">
        <f ca="1">"Causación gasto - "&amp;Gastos_Administrativos!C29&amp;" - "&amp;Gastos_Administrativos!A29</f>
        <v>Causación gasto - Tóner y suministros de impresora - GA-2027</v>
      </c>
      <c r="J664" s="40">
        <f ca="1">Gastos_Administrativos!H29</f>
        <v>1117200</v>
      </c>
      <c r="K664" s="40">
        <f>0</f>
        <v>0</v>
      </c>
      <c r="L664" s="41" t="str">
        <f>Gastos_Administrativos!A29</f>
        <v>GA-2027</v>
      </c>
    </row>
    <row r="665" spans="1:12" x14ac:dyDescent="0.35">
      <c r="A665" s="37" t="str">
        <f>"CE-GA-"&amp;TEXT(5027,"0000")</f>
        <v>CE-GA-5027</v>
      </c>
      <c r="B665" s="38" t="str">
        <f>"Causación Gasto"</f>
        <v>Causación Gasto</v>
      </c>
      <c r="C665" s="39">
        <f ca="1">Gastos_Administrativos!B29</f>
        <v>46038</v>
      </c>
      <c r="D665" s="74" t="str">
        <f>"240810"</f>
        <v>240810</v>
      </c>
      <c r="E665" s="38" t="str">
        <f>"IVA descontable - servicios/compras"</f>
        <v>IVA descontable - servicios/compras</v>
      </c>
      <c r="F665" s="38" t="str">
        <f ca="1">Gastos_Administrativos!D29</f>
        <v>Papelería La Candelaria S.A.S.</v>
      </c>
      <c r="G665" s="38" t="str">
        <f ca="1">Gastos_Administrativos!E29</f>
        <v>890567123-8</v>
      </c>
      <c r="H665" s="38" t="str">
        <f ca="1">"CC-2"&amp;TEXT(MATCH(Gastos_Administrativos!G29,{"Administración";"Ventas";"Bodega";"Logística";"Gerencia"},0),"00")&amp;" "&amp;Gastos_Administrativos!G29</f>
        <v>CC-205 Gerencia</v>
      </c>
      <c r="I665" s="38" t="str">
        <f>"IVA descontable factura "&amp;Gastos_Administrativos!A29</f>
        <v>IVA descontable factura GA-2027</v>
      </c>
      <c r="J665" s="40">
        <f ca="1">Gastos_Administrativos!J29</f>
        <v>212268</v>
      </c>
      <c r="K665" s="40">
        <f>0</f>
        <v>0</v>
      </c>
      <c r="L665" s="41" t="str">
        <f>Gastos_Administrativos!A29</f>
        <v>GA-2027</v>
      </c>
    </row>
    <row r="666" spans="1:12" x14ac:dyDescent="0.35">
      <c r="A666" s="37" t="str">
        <f>"CE-GA-"&amp;TEXT(5027,"0000")</f>
        <v>CE-GA-5027</v>
      </c>
      <c r="B666" s="38" t="str">
        <f>"Causación Gasto"</f>
        <v>Causación Gasto</v>
      </c>
      <c r="C666" s="39">
        <f ca="1">Gastos_Administrativos!B29</f>
        <v>46038</v>
      </c>
      <c r="D666" s="74" t="str">
        <f ca="1">IF(Gastos_Administrativos!L29=0,"236540",CHOOSE(MATCH(Gastos_Administrativos!F29,{"Arrendamientos";"Servicios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666" s="38" t="str">
        <f ca="1">"ReteFuente "&amp;TEXT(Gastos_Administrativos!L29,"0.00%")&amp;" - "&amp;Gastos_Administrativos!F29</f>
        <v>ReteFuente 003% - Suministros</v>
      </c>
      <c r="F666" s="38" t="str">
        <f ca="1">Gastos_Administrativos!D29</f>
        <v>Papelería La Candelaria S.A.S.</v>
      </c>
      <c r="G666" s="38" t="str">
        <f ca="1">Gastos_Administrativos!E29</f>
        <v>890567123-8</v>
      </c>
      <c r="H666" s="38" t="str">
        <f ca="1">"CC-2"&amp;TEXT(MATCH(Gastos_Administrativos!G29,{"Administración";"Ventas";"Bodega";"Logística";"Gerencia"},0),"00")&amp;" "&amp;Gastos_Administrativos!G29</f>
        <v>CC-205 Gerencia</v>
      </c>
      <c r="I666" s="38" t="str">
        <f ca="1">"ReteFuente "&amp;Gastos_Administrativos!C29&amp;" - "&amp;Gastos_Administrativos!A29</f>
        <v>ReteFuente Tóner y suministros de impresora - GA-2027</v>
      </c>
      <c r="J666" s="40">
        <f>0</f>
        <v>0</v>
      </c>
      <c r="K666" s="40">
        <f ca="1">Gastos_Administrativos!M29</f>
        <v>27930</v>
      </c>
      <c r="L666" s="41" t="str">
        <f>Gastos_Administrativos!A29</f>
        <v>GA-2027</v>
      </c>
    </row>
    <row r="667" spans="1:12" x14ac:dyDescent="0.35">
      <c r="A667" s="37" t="str">
        <f>"CE-GA-"&amp;TEXT(5027,"0000")</f>
        <v>CE-GA-5027</v>
      </c>
      <c r="B667" s="38" t="str">
        <f>"Causación Gasto"</f>
        <v>Causación Gasto</v>
      </c>
      <c r="C667" s="39">
        <f ca="1">Gastos_Administrativos!B29</f>
        <v>46038</v>
      </c>
      <c r="D667" s="74" t="str">
        <f>"236701"</f>
        <v>236701</v>
      </c>
      <c r="E667" s="38" t="str">
        <f>"Retención IVA - Régimen común 15%"</f>
        <v>Retención IVA - Régimen común 15%</v>
      </c>
      <c r="F667" s="38" t="str">
        <f ca="1">Gastos_Administrativos!D29</f>
        <v>Papelería La Candelaria S.A.S.</v>
      </c>
      <c r="G667" s="38" t="str">
        <f ca="1">Gastos_Administrativos!E29</f>
        <v>890567123-8</v>
      </c>
      <c r="H667" s="38" t="str">
        <f ca="1">"CC-2"&amp;TEXT(MATCH(Gastos_Administrativos!G29,{"Administración";"Ventas";"Bodega";"Logística";"Gerencia"},0),"00")&amp;" "&amp;Gastos_Administrativos!G29</f>
        <v>CC-205 Gerencia</v>
      </c>
      <c r="I667" s="38" t="str">
        <f>"ReteIVA 15% sobre IVA factura "&amp;Gastos_Administrativos!A29</f>
        <v>ReteIVA 15% sobre IVA factura GA-2027</v>
      </c>
      <c r="J667" s="40">
        <f>0</f>
        <v>0</v>
      </c>
      <c r="K667" s="40">
        <f ca="1">Gastos_Administrativos!O29</f>
        <v>31840</v>
      </c>
      <c r="L667" s="41" t="str">
        <f>Gastos_Administrativos!A29</f>
        <v>GA-2027</v>
      </c>
    </row>
    <row r="668" spans="1:12" x14ac:dyDescent="0.35">
      <c r="A668" s="37" t="str">
        <f>"CE-GA-"&amp;TEXT(5027,"0000")</f>
        <v>CE-GA-5027</v>
      </c>
      <c r="B668" s="38" t="str">
        <f>"Causación Gasto"</f>
        <v>Causación Gasto</v>
      </c>
      <c r="C668" s="39">
        <f ca="1">Gastos_Administrativos!B29</f>
        <v>46038</v>
      </c>
      <c r="D668" s="74" t="str">
        <f>"236805"</f>
        <v>236805</v>
      </c>
      <c r="E668" s="38" t="str">
        <f>"Retención ICA - Medellín 11.04‰"</f>
        <v>Retención ICA - Medellín 11.04‰</v>
      </c>
      <c r="F668" s="38" t="str">
        <f ca="1">Gastos_Administrativos!D29</f>
        <v>Papelería La Candelaria S.A.S.</v>
      </c>
      <c r="G668" s="38" t="str">
        <f ca="1">Gastos_Administrativos!E29</f>
        <v>890567123-8</v>
      </c>
      <c r="H668" s="38" t="str">
        <f ca="1">"CC-2"&amp;TEXT(MATCH(Gastos_Administrativos!G29,{"Administración";"Ventas";"Bodega";"Logística";"Gerencia"},0),"00")&amp;" "&amp;Gastos_Administrativos!G29</f>
        <v>CC-205 Gerencia</v>
      </c>
      <c r="I668" s="38" t="str">
        <f>"ReteICA Medellín sobre gasto "&amp;Gastos_Administrativos!A29</f>
        <v>ReteICA Medellín sobre gasto GA-2027</v>
      </c>
      <c r="J668" s="40">
        <f>0</f>
        <v>0</v>
      </c>
      <c r="K668" s="40">
        <f ca="1">Gastos_Administrativos!Q29</f>
        <v>12334</v>
      </c>
      <c r="L668" s="41" t="str">
        <f>Gastos_Administrativos!A29</f>
        <v>GA-2027</v>
      </c>
    </row>
    <row r="669" spans="1:12" x14ac:dyDescent="0.35">
      <c r="A669" s="37" t="str">
        <f>"CE-GA-"&amp;TEXT(5027,"0000")</f>
        <v>CE-GA-5027</v>
      </c>
      <c r="B669" s="38" t="str">
        <f>"Causación Gasto"</f>
        <v>Causación Gasto</v>
      </c>
      <c r="C669" s="39">
        <f ca="1">Gastos_Administrativos!B29</f>
        <v>46038</v>
      </c>
      <c r="D669" s="74" t="str">
        <f>"233525"</f>
        <v>233525</v>
      </c>
      <c r="E669" s="38" t="str">
        <f>"Costos y gastos por pagar"</f>
        <v>Costos y gastos por pagar</v>
      </c>
      <c r="F669" s="38" t="str">
        <f ca="1">Gastos_Administrativos!D29</f>
        <v>Papelería La Candelaria S.A.S.</v>
      </c>
      <c r="G669" s="38" t="str">
        <f ca="1">Gastos_Administrativos!E29</f>
        <v>890567123-8</v>
      </c>
      <c r="H669" s="38" t="str">
        <f ca="1">"CC-2"&amp;TEXT(MATCH(Gastos_Administrativos!G29,{"Administración";"Ventas";"Bodega";"Logística";"Gerencia"},0),"00")&amp;" "&amp;Gastos_Administrativos!G29</f>
        <v>CC-205 Gerencia</v>
      </c>
      <c r="I669" s="38" t="str">
        <f ca="1">"CxP gasto - "&amp;Gastos_Administrativos!D29&amp;" - "&amp;Gastos_Administrativos!A29</f>
        <v>CxP gasto - Papelería La Candelaria S.A.S. - GA-2027</v>
      </c>
      <c r="J669" s="40">
        <f>0</f>
        <v>0</v>
      </c>
      <c r="K669" s="40">
        <f ca="1">Gastos_Administrativos!R29</f>
        <v>1257364</v>
      </c>
      <c r="L669" s="41" t="str">
        <f>Gastos_Administrativos!A29</f>
        <v>GA-2027</v>
      </c>
    </row>
    <row r="670" spans="1:12" x14ac:dyDescent="0.35">
      <c r="A670" s="32" t="str">
        <f>"CE-GA-"&amp;TEXT(5028,"0000")</f>
        <v>CE-GA-5028</v>
      </c>
      <c r="B670" s="33" t="str">
        <f>"Causación Gasto"</f>
        <v>Causación Gasto</v>
      </c>
      <c r="C670" s="34">
        <f ca="1">Gastos_Administrativos!B30</f>
        <v>46058</v>
      </c>
      <c r="D670" s="73" t="str">
        <f ca="1">CHOOSE(MATCH(Gastos_Administrativos!F30,{"Arrendamientos";"Servicios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510569</v>
      </c>
      <c r="E670" s="33" t="str">
        <f ca="1">CHOOSE(MATCH(Gastos_Administrativos!F30,{"Arrendamientos";"Servicios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Dotación y suministro a trabajadores</v>
      </c>
      <c r="F670" s="33" t="str">
        <f ca="1">Gastos_Administrativos!D30</f>
        <v>Centro de Capacitación SST Antioquia</v>
      </c>
      <c r="G670" s="33" t="str">
        <f ca="1">Gastos_Administrativos!E30</f>
        <v>901678901-3</v>
      </c>
      <c r="H670" s="33" t="str">
        <f ca="1">"CC-2"&amp;TEXT(MATCH(Gastos_Administrativos!G30,{"Administración";"Ventas";"Bodega";"Logística";"Gerencia"},0),"00")&amp;" "&amp;Gastos_Administrativos!G30</f>
        <v>CC-204 Logística</v>
      </c>
      <c r="I670" s="33" t="str">
        <f ca="1">"Causación gasto - "&amp;Gastos_Administrativos!C30&amp;" - "&amp;Gastos_Administrativos!A30</f>
        <v>Causación gasto - Elementos de protección personal - GA-2028</v>
      </c>
      <c r="J670" s="35">
        <f ca="1">Gastos_Administrativos!H30</f>
        <v>3425400</v>
      </c>
      <c r="K670" s="35">
        <f>0</f>
        <v>0</v>
      </c>
      <c r="L670" s="36" t="str">
        <f>Gastos_Administrativos!A30</f>
        <v>GA-2028</v>
      </c>
    </row>
    <row r="671" spans="1:12" x14ac:dyDescent="0.35">
      <c r="A671" s="32" t="str">
        <f>"CE-GA-"&amp;TEXT(5028,"0000")</f>
        <v>CE-GA-5028</v>
      </c>
      <c r="B671" s="33" t="str">
        <f>"Causación Gasto"</f>
        <v>Causación Gasto</v>
      </c>
      <c r="C671" s="34">
        <f ca="1">Gastos_Administrativos!B30</f>
        <v>46058</v>
      </c>
      <c r="D671" s="73" t="str">
        <f>"240810"</f>
        <v>240810</v>
      </c>
      <c r="E671" s="33" t="str">
        <f>"IVA descontable - servicios/compras"</f>
        <v>IVA descontable - servicios/compras</v>
      </c>
      <c r="F671" s="33" t="str">
        <f ca="1">Gastos_Administrativos!D30</f>
        <v>Centro de Capacitación SST Antioquia</v>
      </c>
      <c r="G671" s="33" t="str">
        <f ca="1">Gastos_Administrativos!E30</f>
        <v>901678901-3</v>
      </c>
      <c r="H671" s="33" t="str">
        <f ca="1">"CC-2"&amp;TEXT(MATCH(Gastos_Administrativos!G30,{"Administración";"Ventas";"Bodega";"Logística";"Gerencia"},0),"00")&amp;" "&amp;Gastos_Administrativos!G30</f>
        <v>CC-204 Logística</v>
      </c>
      <c r="I671" s="33" t="str">
        <f>"IVA descontable factura "&amp;Gastos_Administrativos!A30</f>
        <v>IVA descontable factura GA-2028</v>
      </c>
      <c r="J671" s="35">
        <f ca="1">Gastos_Administrativos!J30</f>
        <v>650826</v>
      </c>
      <c r="K671" s="35">
        <f>0</f>
        <v>0</v>
      </c>
      <c r="L671" s="36" t="str">
        <f>Gastos_Administrativos!A30</f>
        <v>GA-2028</v>
      </c>
    </row>
    <row r="672" spans="1:12" x14ac:dyDescent="0.35">
      <c r="A672" s="32" t="str">
        <f>"CE-GA-"&amp;TEXT(5028,"0000")</f>
        <v>CE-GA-5028</v>
      </c>
      <c r="B672" s="33" t="str">
        <f>"Causación Gasto"</f>
        <v>Causación Gasto</v>
      </c>
      <c r="C672" s="34">
        <f ca="1">Gastos_Administrativos!B30</f>
        <v>46058</v>
      </c>
      <c r="D672" s="73" t="str">
        <f ca="1">IF(Gastos_Administrativos!L30=0,"236540",CHOOSE(MATCH(Gastos_Administrativos!F30,{"Arrendamientos";"Servicios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672" s="33" t="str">
        <f ca="1">"ReteFuente "&amp;TEXT(Gastos_Administrativos!L30,"0.00%")&amp;" - "&amp;Gastos_Administrativos!F30</f>
        <v>ReteFuente 003% - Personal</v>
      </c>
      <c r="F672" s="33" t="str">
        <f ca="1">Gastos_Administrativos!D30</f>
        <v>Centro de Capacitación SST Antioquia</v>
      </c>
      <c r="G672" s="33" t="str">
        <f ca="1">Gastos_Administrativos!E30</f>
        <v>901678901-3</v>
      </c>
      <c r="H672" s="33" t="str">
        <f ca="1">"CC-2"&amp;TEXT(MATCH(Gastos_Administrativos!G30,{"Administración";"Ventas";"Bodega";"Logística";"Gerencia"},0),"00")&amp;" "&amp;Gastos_Administrativos!G30</f>
        <v>CC-204 Logística</v>
      </c>
      <c r="I672" s="33" t="str">
        <f ca="1">"ReteFuente "&amp;Gastos_Administrativos!C30&amp;" - "&amp;Gastos_Administrativos!A30</f>
        <v>ReteFuente Elementos de protección personal - GA-2028</v>
      </c>
      <c r="J672" s="35">
        <f>0</f>
        <v>0</v>
      </c>
      <c r="K672" s="35">
        <f ca="1">Gastos_Administrativos!M30</f>
        <v>85635</v>
      </c>
      <c r="L672" s="36" t="str">
        <f>Gastos_Administrativos!A30</f>
        <v>GA-2028</v>
      </c>
    </row>
    <row r="673" spans="1:12" x14ac:dyDescent="0.35">
      <c r="A673" s="32" t="str">
        <f>"CE-GA-"&amp;TEXT(5028,"0000")</f>
        <v>CE-GA-5028</v>
      </c>
      <c r="B673" s="33" t="str">
        <f>"Causación Gasto"</f>
        <v>Causación Gasto</v>
      </c>
      <c r="C673" s="34">
        <f ca="1">Gastos_Administrativos!B30</f>
        <v>46058</v>
      </c>
      <c r="D673" s="73" t="str">
        <f>"236701"</f>
        <v>236701</v>
      </c>
      <c r="E673" s="33" t="str">
        <f>"Retención IVA - Régimen común 15%"</f>
        <v>Retención IVA - Régimen común 15%</v>
      </c>
      <c r="F673" s="33" t="str">
        <f ca="1">Gastos_Administrativos!D30</f>
        <v>Centro de Capacitación SST Antioquia</v>
      </c>
      <c r="G673" s="33" t="str">
        <f ca="1">Gastos_Administrativos!E30</f>
        <v>901678901-3</v>
      </c>
      <c r="H673" s="33" t="str">
        <f ca="1">"CC-2"&amp;TEXT(MATCH(Gastos_Administrativos!G30,{"Administración";"Ventas";"Bodega";"Logística";"Gerencia"},0),"00")&amp;" "&amp;Gastos_Administrativos!G30</f>
        <v>CC-204 Logística</v>
      </c>
      <c r="I673" s="33" t="str">
        <f>"ReteIVA 15% sobre IVA factura "&amp;Gastos_Administrativos!A30</f>
        <v>ReteIVA 15% sobre IVA factura GA-2028</v>
      </c>
      <c r="J673" s="35">
        <f>0</f>
        <v>0</v>
      </c>
      <c r="K673" s="35">
        <f ca="1">Gastos_Administrativos!O30</f>
        <v>97624</v>
      </c>
      <c r="L673" s="36" t="str">
        <f>Gastos_Administrativos!A30</f>
        <v>GA-2028</v>
      </c>
    </row>
    <row r="674" spans="1:12" x14ac:dyDescent="0.35">
      <c r="A674" s="32" t="str">
        <f>"CE-GA-"&amp;TEXT(5028,"0000")</f>
        <v>CE-GA-5028</v>
      </c>
      <c r="B674" s="33" t="str">
        <f>"Causación Gasto"</f>
        <v>Causación Gasto</v>
      </c>
      <c r="C674" s="34">
        <f ca="1">Gastos_Administrativos!B30</f>
        <v>46058</v>
      </c>
      <c r="D674" s="73" t="str">
        <f>"236805"</f>
        <v>236805</v>
      </c>
      <c r="E674" s="33" t="str">
        <f>"Retención ICA - Medellín 11.04‰"</f>
        <v>Retención ICA - Medellín 11.04‰</v>
      </c>
      <c r="F674" s="33" t="str">
        <f ca="1">Gastos_Administrativos!D30</f>
        <v>Centro de Capacitación SST Antioquia</v>
      </c>
      <c r="G674" s="33" t="str">
        <f ca="1">Gastos_Administrativos!E30</f>
        <v>901678901-3</v>
      </c>
      <c r="H674" s="33" t="str">
        <f ca="1">"CC-2"&amp;TEXT(MATCH(Gastos_Administrativos!G30,{"Administración";"Ventas";"Bodega";"Logística";"Gerencia"},0),"00")&amp;" "&amp;Gastos_Administrativos!G30</f>
        <v>CC-204 Logística</v>
      </c>
      <c r="I674" s="33" t="str">
        <f>"ReteICA Medellín sobre gasto "&amp;Gastos_Administrativos!A30</f>
        <v>ReteICA Medellín sobre gasto GA-2028</v>
      </c>
      <c r="J674" s="35">
        <f>0</f>
        <v>0</v>
      </c>
      <c r="K674" s="35">
        <f ca="1">Gastos_Administrativos!Q30</f>
        <v>37816</v>
      </c>
      <c r="L674" s="36" t="str">
        <f>Gastos_Administrativos!A30</f>
        <v>GA-2028</v>
      </c>
    </row>
    <row r="675" spans="1:12" x14ac:dyDescent="0.35">
      <c r="A675" s="32" t="str">
        <f>"CE-GA-"&amp;TEXT(5028,"0000")</f>
        <v>CE-GA-5028</v>
      </c>
      <c r="B675" s="33" t="str">
        <f>"Causación Gasto"</f>
        <v>Causación Gasto</v>
      </c>
      <c r="C675" s="34">
        <f ca="1">Gastos_Administrativos!B30</f>
        <v>46058</v>
      </c>
      <c r="D675" s="73" t="str">
        <f>"233525"</f>
        <v>233525</v>
      </c>
      <c r="E675" s="33" t="str">
        <f>"Costos y gastos por pagar"</f>
        <v>Costos y gastos por pagar</v>
      </c>
      <c r="F675" s="33" t="str">
        <f ca="1">Gastos_Administrativos!D30</f>
        <v>Centro de Capacitación SST Antioquia</v>
      </c>
      <c r="G675" s="33" t="str">
        <f ca="1">Gastos_Administrativos!E30</f>
        <v>901678901-3</v>
      </c>
      <c r="H675" s="33" t="str">
        <f ca="1">"CC-2"&amp;TEXT(MATCH(Gastos_Administrativos!G30,{"Administración";"Ventas";"Bodega";"Logística";"Gerencia"},0),"00")&amp;" "&amp;Gastos_Administrativos!G30</f>
        <v>CC-204 Logística</v>
      </c>
      <c r="I675" s="33" t="str">
        <f ca="1">"CxP gasto - "&amp;Gastos_Administrativos!D30&amp;" - "&amp;Gastos_Administrativos!A30</f>
        <v>CxP gasto - Centro de Capacitación SST Antioquia - GA-2028</v>
      </c>
      <c r="J675" s="35">
        <f>0</f>
        <v>0</v>
      </c>
      <c r="K675" s="35">
        <f ca="1">Gastos_Administrativos!R30</f>
        <v>3855151</v>
      </c>
      <c r="L675" s="36" t="str">
        <f>Gastos_Administrativos!A30</f>
        <v>GA-2028</v>
      </c>
    </row>
    <row r="676" spans="1:12" x14ac:dyDescent="0.35">
      <c r="A676" s="37" t="str">
        <f>"CE-GA-"&amp;TEXT(5029,"0000")</f>
        <v>CE-GA-5029</v>
      </c>
      <c r="B676" s="38" t="str">
        <f>"Causación Gasto"</f>
        <v>Causación Gasto</v>
      </c>
      <c r="C676" s="39">
        <f ca="1">Gastos_Administrativos!B31</f>
        <v>46107</v>
      </c>
      <c r="D676" s="74" t="str">
        <f ca="1">CHOOSE(MATCH(Gastos_Administrativos!F31,{"Arrendamientos";"Servicios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514505</v>
      </c>
      <c r="E676" s="38" t="str">
        <f ca="1">CHOOSE(MATCH(Gastos_Administrativos!F31,{"Arrendamientos";"Servicios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Mantenimiento y reparaciones</v>
      </c>
      <c r="F676" s="38" t="str">
        <f ca="1">Gastos_Administrativos!D31</f>
        <v>Tigo UNE Telecomunicaciones S.A.</v>
      </c>
      <c r="G676" s="38" t="str">
        <f ca="1">Gastos_Administrativos!E31</f>
        <v>830122566-1</v>
      </c>
      <c r="H676" s="38" t="str">
        <f ca="1">"CC-2"&amp;TEXT(MATCH(Gastos_Administrativos!G31,{"Administración";"Ventas";"Bodega";"Logística";"Gerencia"},0),"00")&amp;" "&amp;Gastos_Administrativos!G31</f>
        <v>CC-202 Ventas</v>
      </c>
      <c r="I676" s="38" t="str">
        <f ca="1">"Causación gasto - "&amp;Gastos_Administrativos!C31&amp;" - "&amp;Gastos_Administrativos!A31</f>
        <v>Causación gasto - Mantenimiento locativo del local - GA-2029</v>
      </c>
      <c r="J676" s="40">
        <f ca="1">Gastos_Administrativos!H31</f>
        <v>839300</v>
      </c>
      <c r="K676" s="40">
        <f>0</f>
        <v>0</v>
      </c>
      <c r="L676" s="41" t="str">
        <f>Gastos_Administrativos!A31</f>
        <v>GA-2029</v>
      </c>
    </row>
    <row r="677" spans="1:12" x14ac:dyDescent="0.35">
      <c r="A677" s="37" t="str">
        <f>"CE-GA-"&amp;TEXT(5029,"0000")</f>
        <v>CE-GA-5029</v>
      </c>
      <c r="B677" s="38" t="str">
        <f>"Causación Gasto"</f>
        <v>Causación Gasto</v>
      </c>
      <c r="C677" s="39">
        <f ca="1">Gastos_Administrativos!B31</f>
        <v>46107</v>
      </c>
      <c r="D677" s="74" t="str">
        <f>"240810"</f>
        <v>240810</v>
      </c>
      <c r="E677" s="38" t="str">
        <f>"IVA descontable - servicios/compras"</f>
        <v>IVA descontable - servicios/compras</v>
      </c>
      <c r="F677" s="38" t="str">
        <f ca="1">Gastos_Administrativos!D31</f>
        <v>Tigo UNE Telecomunicaciones S.A.</v>
      </c>
      <c r="G677" s="38" t="str">
        <f ca="1">Gastos_Administrativos!E31</f>
        <v>830122566-1</v>
      </c>
      <c r="H677" s="38" t="str">
        <f ca="1">"CC-2"&amp;TEXT(MATCH(Gastos_Administrativos!G31,{"Administración";"Ventas";"Bodega";"Logística";"Gerencia"},0),"00")&amp;" "&amp;Gastos_Administrativos!G31</f>
        <v>CC-202 Ventas</v>
      </c>
      <c r="I677" s="38" t="str">
        <f>"IVA descontable factura "&amp;Gastos_Administrativos!A31</f>
        <v>IVA descontable factura GA-2029</v>
      </c>
      <c r="J677" s="40">
        <f ca="1">Gastos_Administrativos!J31</f>
        <v>159467</v>
      </c>
      <c r="K677" s="40">
        <f>0</f>
        <v>0</v>
      </c>
      <c r="L677" s="41" t="str">
        <f>Gastos_Administrativos!A31</f>
        <v>GA-2029</v>
      </c>
    </row>
    <row r="678" spans="1:12" x14ac:dyDescent="0.35">
      <c r="A678" s="37" t="str">
        <f>"CE-GA-"&amp;TEXT(5029,"0000")</f>
        <v>CE-GA-5029</v>
      </c>
      <c r="B678" s="38" t="str">
        <f>"Causación Gasto"</f>
        <v>Causación Gasto</v>
      </c>
      <c r="C678" s="39">
        <f ca="1">Gastos_Administrativos!B31</f>
        <v>46107</v>
      </c>
      <c r="D678" s="74" t="str">
        <f ca="1">IF(Gastos_Administrativos!L31=0,"236540",CHOOSE(MATCH(Gastos_Administrativos!F31,{"Arrendamientos";"Servicios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236530</v>
      </c>
      <c r="E678" s="38" t="str">
        <f ca="1">"ReteFuente "&amp;TEXT(Gastos_Administrativos!L31,"0.00%")&amp;" - "&amp;Gastos_Administrativos!F31</f>
        <v>ReteFuente 002% - Mantenimiento</v>
      </c>
      <c r="F678" s="38" t="str">
        <f ca="1">Gastos_Administrativos!D31</f>
        <v>Tigo UNE Telecomunicaciones S.A.</v>
      </c>
      <c r="G678" s="38" t="str">
        <f ca="1">Gastos_Administrativos!E31</f>
        <v>830122566-1</v>
      </c>
      <c r="H678" s="38" t="str">
        <f ca="1">"CC-2"&amp;TEXT(MATCH(Gastos_Administrativos!G31,{"Administración";"Ventas";"Bodega";"Logística";"Gerencia"},0),"00")&amp;" "&amp;Gastos_Administrativos!G31</f>
        <v>CC-202 Ventas</v>
      </c>
      <c r="I678" s="38" t="str">
        <f ca="1">"ReteFuente "&amp;Gastos_Administrativos!C31&amp;" - "&amp;Gastos_Administrativos!A31</f>
        <v>ReteFuente Mantenimiento locativo del local - GA-2029</v>
      </c>
      <c r="J678" s="40">
        <f>0</f>
        <v>0</v>
      </c>
      <c r="K678" s="40">
        <f ca="1">Gastos_Administrativos!M31</f>
        <v>16786</v>
      </c>
      <c r="L678" s="41" t="str">
        <f>Gastos_Administrativos!A31</f>
        <v>GA-2029</v>
      </c>
    </row>
    <row r="679" spans="1:12" x14ac:dyDescent="0.35">
      <c r="A679" s="37" t="str">
        <f>"CE-GA-"&amp;TEXT(5029,"0000")</f>
        <v>CE-GA-5029</v>
      </c>
      <c r="B679" s="38" t="str">
        <f>"Causación Gasto"</f>
        <v>Causación Gasto</v>
      </c>
      <c r="C679" s="39">
        <f ca="1">Gastos_Administrativos!B31</f>
        <v>46107</v>
      </c>
      <c r="D679" s="74" t="str">
        <f>"236701"</f>
        <v>236701</v>
      </c>
      <c r="E679" s="38" t="str">
        <f>"Retención IVA - Régimen común 15%"</f>
        <v>Retención IVA - Régimen común 15%</v>
      </c>
      <c r="F679" s="38" t="str">
        <f ca="1">Gastos_Administrativos!D31</f>
        <v>Tigo UNE Telecomunicaciones S.A.</v>
      </c>
      <c r="G679" s="38" t="str">
        <f ca="1">Gastos_Administrativos!E31</f>
        <v>830122566-1</v>
      </c>
      <c r="H679" s="38" t="str">
        <f ca="1">"CC-2"&amp;TEXT(MATCH(Gastos_Administrativos!G31,{"Administración";"Ventas";"Bodega";"Logística";"Gerencia"},0),"00")&amp;" "&amp;Gastos_Administrativos!G31</f>
        <v>CC-202 Ventas</v>
      </c>
      <c r="I679" s="38" t="str">
        <f>"ReteIVA 15% sobre IVA factura "&amp;Gastos_Administrativos!A31</f>
        <v>ReteIVA 15% sobre IVA factura GA-2029</v>
      </c>
      <c r="J679" s="40">
        <f>0</f>
        <v>0</v>
      </c>
      <c r="K679" s="40">
        <f ca="1">Gastos_Administrativos!O31</f>
        <v>23920</v>
      </c>
      <c r="L679" s="41" t="str">
        <f>Gastos_Administrativos!A31</f>
        <v>GA-2029</v>
      </c>
    </row>
    <row r="680" spans="1:12" x14ac:dyDescent="0.35">
      <c r="A680" s="37" t="str">
        <f>"CE-GA-"&amp;TEXT(5029,"0000")</f>
        <v>CE-GA-5029</v>
      </c>
      <c r="B680" s="38" t="str">
        <f>"Causación Gasto"</f>
        <v>Causación Gasto</v>
      </c>
      <c r="C680" s="39">
        <f ca="1">Gastos_Administrativos!B31</f>
        <v>46107</v>
      </c>
      <c r="D680" s="74" t="str">
        <f>"236805"</f>
        <v>236805</v>
      </c>
      <c r="E680" s="38" t="str">
        <f>"Retención ICA - Medellín 11.04‰"</f>
        <v>Retención ICA - Medellín 11.04‰</v>
      </c>
      <c r="F680" s="38" t="str">
        <f ca="1">Gastos_Administrativos!D31</f>
        <v>Tigo UNE Telecomunicaciones S.A.</v>
      </c>
      <c r="G680" s="38" t="str">
        <f ca="1">Gastos_Administrativos!E31</f>
        <v>830122566-1</v>
      </c>
      <c r="H680" s="38" t="str">
        <f ca="1">"CC-2"&amp;TEXT(MATCH(Gastos_Administrativos!G31,{"Administración";"Ventas";"Bodega";"Logística";"Gerencia"},0),"00")&amp;" "&amp;Gastos_Administrativos!G31</f>
        <v>CC-202 Ventas</v>
      </c>
      <c r="I680" s="38" t="str">
        <f>"ReteICA Medellín sobre gasto "&amp;Gastos_Administrativos!A31</f>
        <v>ReteICA Medellín sobre gasto GA-2029</v>
      </c>
      <c r="J680" s="40">
        <f>0</f>
        <v>0</v>
      </c>
      <c r="K680" s="40">
        <f ca="1">Gastos_Administrativos!Q31</f>
        <v>9266</v>
      </c>
      <c r="L680" s="41" t="str">
        <f>Gastos_Administrativos!A31</f>
        <v>GA-2029</v>
      </c>
    </row>
    <row r="681" spans="1:12" x14ac:dyDescent="0.35">
      <c r="A681" s="37" t="str">
        <f>"CE-GA-"&amp;TEXT(5029,"0000")</f>
        <v>CE-GA-5029</v>
      </c>
      <c r="B681" s="38" t="str">
        <f>"Causación Gasto"</f>
        <v>Causación Gasto</v>
      </c>
      <c r="C681" s="39">
        <f ca="1">Gastos_Administrativos!B31</f>
        <v>46107</v>
      </c>
      <c r="D681" s="74" t="str">
        <f>"233525"</f>
        <v>233525</v>
      </c>
      <c r="E681" s="38" t="str">
        <f>"Costos y gastos por pagar"</f>
        <v>Costos y gastos por pagar</v>
      </c>
      <c r="F681" s="38" t="str">
        <f ca="1">Gastos_Administrativos!D31</f>
        <v>Tigo UNE Telecomunicaciones S.A.</v>
      </c>
      <c r="G681" s="38" t="str">
        <f ca="1">Gastos_Administrativos!E31</f>
        <v>830122566-1</v>
      </c>
      <c r="H681" s="38" t="str">
        <f ca="1">"CC-2"&amp;TEXT(MATCH(Gastos_Administrativos!G31,{"Administración";"Ventas";"Bodega";"Logística";"Gerencia"},0),"00")&amp;" "&amp;Gastos_Administrativos!G31</f>
        <v>CC-202 Ventas</v>
      </c>
      <c r="I681" s="38" t="str">
        <f ca="1">"CxP gasto - "&amp;Gastos_Administrativos!D31&amp;" - "&amp;Gastos_Administrativos!A31</f>
        <v>CxP gasto - Tigo UNE Telecomunicaciones S.A. - GA-2029</v>
      </c>
      <c r="J681" s="40">
        <f>0</f>
        <v>0</v>
      </c>
      <c r="K681" s="40">
        <f ca="1">Gastos_Administrativos!R31</f>
        <v>948795</v>
      </c>
      <c r="L681" s="41" t="str">
        <f>Gastos_Administrativos!A31</f>
        <v>GA-2029</v>
      </c>
    </row>
    <row r="682" spans="1:12" x14ac:dyDescent="0.35">
      <c r="A682" s="32" t="str">
        <f>"CE-GA-"&amp;TEXT(5030,"0000")</f>
        <v>CE-GA-5030</v>
      </c>
      <c r="B682" s="33" t="str">
        <f>"Causación Gasto"</f>
        <v>Causación Gasto</v>
      </c>
      <c r="C682" s="34">
        <f ca="1">Gastos_Administrativos!B32</f>
        <v>46025</v>
      </c>
      <c r="D682" s="73" t="str">
        <f ca="1">CHOOSE(MATCH(Gastos_Administrativos!F32,{"Arrendamientos";"Servicios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519525</v>
      </c>
      <c r="E682" s="33" t="str">
        <f ca="1">CHOOSE(MATCH(Gastos_Administrativos!F32,{"Arrendamientos";"Servicios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Útiles, papelería y fotocopias</v>
      </c>
      <c r="F682" s="33" t="str">
        <f ca="1">Gastos_Administrativos!D32</f>
        <v>Tigo UNE Telecomunicaciones S.A.</v>
      </c>
      <c r="G682" s="33" t="str">
        <f ca="1">Gastos_Administrativos!E32</f>
        <v>830122566-1</v>
      </c>
      <c r="H682" s="33" t="str">
        <f ca="1">"CC-2"&amp;TEXT(MATCH(Gastos_Administrativos!G32,{"Administración";"Ventas";"Bodega";"Logística";"Gerencia"},0),"00")&amp;" "&amp;Gastos_Administrativos!G32</f>
        <v>CC-201 Administración</v>
      </c>
      <c r="I682" s="33" t="str">
        <f ca="1">"Causación gasto - "&amp;Gastos_Administrativos!C32&amp;" - "&amp;Gastos_Administrativos!A32</f>
        <v>Causación gasto - Café, agua y refrigerios oficina - GA-2030</v>
      </c>
      <c r="J682" s="35">
        <f ca="1">Gastos_Administrativos!H32</f>
        <v>7582000</v>
      </c>
      <c r="K682" s="35">
        <f>0</f>
        <v>0</v>
      </c>
      <c r="L682" s="36" t="str">
        <f>Gastos_Administrativos!A32</f>
        <v>GA-2030</v>
      </c>
    </row>
    <row r="683" spans="1:12" x14ac:dyDescent="0.35">
      <c r="A683" s="32" t="str">
        <f>"CE-GA-"&amp;TEXT(5030,"0000")</f>
        <v>CE-GA-5030</v>
      </c>
      <c r="B683" s="33" t="str">
        <f>"Causación Gasto"</f>
        <v>Causación Gasto</v>
      </c>
      <c r="C683" s="34">
        <f ca="1">Gastos_Administrativos!B32</f>
        <v>46025</v>
      </c>
      <c r="D683" s="73" t="str">
        <f>"240810"</f>
        <v>240810</v>
      </c>
      <c r="E683" s="33" t="str">
        <f>"IVA descontable - servicios/compras"</f>
        <v>IVA descontable - servicios/compras</v>
      </c>
      <c r="F683" s="33" t="str">
        <f ca="1">Gastos_Administrativos!D32</f>
        <v>Tigo UNE Telecomunicaciones S.A.</v>
      </c>
      <c r="G683" s="33" t="str">
        <f ca="1">Gastos_Administrativos!E32</f>
        <v>830122566-1</v>
      </c>
      <c r="H683" s="33" t="str">
        <f ca="1">"CC-2"&amp;TEXT(MATCH(Gastos_Administrativos!G32,{"Administración";"Ventas";"Bodega";"Logística";"Gerencia"},0),"00")&amp;" "&amp;Gastos_Administrativos!G32</f>
        <v>CC-201 Administración</v>
      </c>
      <c r="I683" s="33" t="str">
        <f>"IVA descontable factura "&amp;Gastos_Administrativos!A32</f>
        <v>IVA descontable factura GA-2030</v>
      </c>
      <c r="J683" s="35">
        <f ca="1">Gastos_Administrativos!J32</f>
        <v>1440580</v>
      </c>
      <c r="K683" s="35">
        <f>0</f>
        <v>0</v>
      </c>
      <c r="L683" s="36" t="str">
        <f>Gastos_Administrativos!A32</f>
        <v>GA-2030</v>
      </c>
    </row>
    <row r="684" spans="1:12" x14ac:dyDescent="0.35">
      <c r="A684" s="32" t="str">
        <f>"CE-GA-"&amp;TEXT(5030,"0000")</f>
        <v>CE-GA-5030</v>
      </c>
      <c r="B684" s="33" t="str">
        <f>"Causación Gasto"</f>
        <v>Causación Gasto</v>
      </c>
      <c r="C684" s="34">
        <f ca="1">Gastos_Administrativos!B32</f>
        <v>46025</v>
      </c>
      <c r="D684" s="73" t="str">
        <f ca="1">IF(Gastos_Administrativos!L32=0,"236540",CHOOSE(MATCH(Gastos_Administrativos!F32,{"Arrendamientos";"Servicios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684" s="33" t="str">
        <f ca="1">"ReteFuente "&amp;TEXT(Gastos_Administrativos!L32,"0.00%")&amp;" - "&amp;Gastos_Administrativos!F32</f>
        <v>ReteFuente 003% - Suministros</v>
      </c>
      <c r="F684" s="33" t="str">
        <f ca="1">Gastos_Administrativos!D32</f>
        <v>Tigo UNE Telecomunicaciones S.A.</v>
      </c>
      <c r="G684" s="33" t="str">
        <f ca="1">Gastos_Administrativos!E32</f>
        <v>830122566-1</v>
      </c>
      <c r="H684" s="33" t="str">
        <f ca="1">"CC-2"&amp;TEXT(MATCH(Gastos_Administrativos!G32,{"Administración";"Ventas";"Bodega";"Logística";"Gerencia"},0),"00")&amp;" "&amp;Gastos_Administrativos!G32</f>
        <v>CC-201 Administración</v>
      </c>
      <c r="I684" s="33" t="str">
        <f ca="1">"ReteFuente "&amp;Gastos_Administrativos!C32&amp;" - "&amp;Gastos_Administrativos!A32</f>
        <v>ReteFuente Café, agua y refrigerios oficina - GA-2030</v>
      </c>
      <c r="J684" s="35">
        <f>0</f>
        <v>0</v>
      </c>
      <c r="K684" s="35">
        <f ca="1">Gastos_Administrativos!M32</f>
        <v>189550</v>
      </c>
      <c r="L684" s="36" t="str">
        <f>Gastos_Administrativos!A32</f>
        <v>GA-2030</v>
      </c>
    </row>
    <row r="685" spans="1:12" x14ac:dyDescent="0.35">
      <c r="A685" s="32" t="str">
        <f>"CE-GA-"&amp;TEXT(5030,"0000")</f>
        <v>CE-GA-5030</v>
      </c>
      <c r="B685" s="33" t="str">
        <f>"Causación Gasto"</f>
        <v>Causación Gasto</v>
      </c>
      <c r="C685" s="34">
        <f ca="1">Gastos_Administrativos!B32</f>
        <v>46025</v>
      </c>
      <c r="D685" s="73" t="str">
        <f>"236701"</f>
        <v>236701</v>
      </c>
      <c r="E685" s="33" t="str">
        <f>"Retención IVA - Régimen común 15%"</f>
        <v>Retención IVA - Régimen común 15%</v>
      </c>
      <c r="F685" s="33" t="str">
        <f ca="1">Gastos_Administrativos!D32</f>
        <v>Tigo UNE Telecomunicaciones S.A.</v>
      </c>
      <c r="G685" s="33" t="str">
        <f ca="1">Gastos_Administrativos!E32</f>
        <v>830122566-1</v>
      </c>
      <c r="H685" s="33" t="str">
        <f ca="1">"CC-2"&amp;TEXT(MATCH(Gastos_Administrativos!G32,{"Administración";"Ventas";"Bodega";"Logística";"Gerencia"},0),"00")&amp;" "&amp;Gastos_Administrativos!G32</f>
        <v>CC-201 Administración</v>
      </c>
      <c r="I685" s="33" t="str">
        <f>"ReteIVA 15% sobre IVA factura "&amp;Gastos_Administrativos!A32</f>
        <v>ReteIVA 15% sobre IVA factura GA-2030</v>
      </c>
      <c r="J685" s="35">
        <f>0</f>
        <v>0</v>
      </c>
      <c r="K685" s="35">
        <f ca="1">Gastos_Administrativos!O32</f>
        <v>216087</v>
      </c>
      <c r="L685" s="36" t="str">
        <f>Gastos_Administrativos!A32</f>
        <v>GA-2030</v>
      </c>
    </row>
    <row r="686" spans="1:12" x14ac:dyDescent="0.35">
      <c r="A686" s="32" t="str">
        <f>"CE-GA-"&amp;TEXT(5030,"0000")</f>
        <v>CE-GA-5030</v>
      </c>
      <c r="B686" s="33" t="str">
        <f>"Causación Gasto"</f>
        <v>Causación Gasto</v>
      </c>
      <c r="C686" s="34">
        <f ca="1">Gastos_Administrativos!B32</f>
        <v>46025</v>
      </c>
      <c r="D686" s="73" t="str">
        <f>"236805"</f>
        <v>236805</v>
      </c>
      <c r="E686" s="33" t="str">
        <f>"Retención ICA - Medellín 11.04‰"</f>
        <v>Retención ICA - Medellín 11.04‰</v>
      </c>
      <c r="F686" s="33" t="str">
        <f ca="1">Gastos_Administrativos!D32</f>
        <v>Tigo UNE Telecomunicaciones S.A.</v>
      </c>
      <c r="G686" s="33" t="str">
        <f ca="1">Gastos_Administrativos!E32</f>
        <v>830122566-1</v>
      </c>
      <c r="H686" s="33" t="str">
        <f ca="1">"CC-2"&amp;TEXT(MATCH(Gastos_Administrativos!G32,{"Administración";"Ventas";"Bodega";"Logística";"Gerencia"},0),"00")&amp;" "&amp;Gastos_Administrativos!G32</f>
        <v>CC-201 Administración</v>
      </c>
      <c r="I686" s="33" t="str">
        <f>"ReteICA Medellín sobre gasto "&amp;Gastos_Administrativos!A32</f>
        <v>ReteICA Medellín sobre gasto GA-2030</v>
      </c>
      <c r="J686" s="35">
        <f>0</f>
        <v>0</v>
      </c>
      <c r="K686" s="35">
        <f ca="1">Gastos_Administrativos!Q32</f>
        <v>83705</v>
      </c>
      <c r="L686" s="36" t="str">
        <f>Gastos_Administrativos!A32</f>
        <v>GA-2030</v>
      </c>
    </row>
    <row r="687" spans="1:12" x14ac:dyDescent="0.35">
      <c r="A687" s="32" t="str">
        <f>"CE-GA-"&amp;TEXT(5030,"0000")</f>
        <v>CE-GA-5030</v>
      </c>
      <c r="B687" s="33" t="str">
        <f>"Causación Gasto"</f>
        <v>Causación Gasto</v>
      </c>
      <c r="C687" s="34">
        <f ca="1">Gastos_Administrativos!B32</f>
        <v>46025</v>
      </c>
      <c r="D687" s="73" t="str">
        <f>"233525"</f>
        <v>233525</v>
      </c>
      <c r="E687" s="33" t="str">
        <f>"Costos y gastos por pagar"</f>
        <v>Costos y gastos por pagar</v>
      </c>
      <c r="F687" s="33" t="str">
        <f ca="1">Gastos_Administrativos!D32</f>
        <v>Tigo UNE Telecomunicaciones S.A.</v>
      </c>
      <c r="G687" s="33" t="str">
        <f ca="1">Gastos_Administrativos!E32</f>
        <v>830122566-1</v>
      </c>
      <c r="H687" s="33" t="str">
        <f ca="1">"CC-2"&amp;TEXT(MATCH(Gastos_Administrativos!G32,{"Administración";"Ventas";"Bodega";"Logística";"Gerencia"},0),"00")&amp;" "&amp;Gastos_Administrativos!G32</f>
        <v>CC-201 Administración</v>
      </c>
      <c r="I687" s="33" t="str">
        <f ca="1">"CxP gasto - "&amp;Gastos_Administrativos!D32&amp;" - "&amp;Gastos_Administrativos!A32</f>
        <v>CxP gasto - Tigo UNE Telecomunicaciones S.A. - GA-2030</v>
      </c>
      <c r="J687" s="35">
        <f>0</f>
        <v>0</v>
      </c>
      <c r="K687" s="35">
        <f ca="1">Gastos_Administrativos!R32</f>
        <v>8533238</v>
      </c>
      <c r="L687" s="36" t="str">
        <f>Gastos_Administrativos!A32</f>
        <v>GA-2030</v>
      </c>
    </row>
    <row r="688" spans="1:12" x14ac:dyDescent="0.35">
      <c r="A688" s="37" t="str">
        <f>"CE-GA-"&amp;TEXT(5031,"0000")</f>
        <v>CE-GA-5031</v>
      </c>
      <c r="B688" s="38" t="str">
        <f>"Causación Gasto"</f>
        <v>Causación Gasto</v>
      </c>
      <c r="C688" s="39">
        <f ca="1">Gastos_Administrativos!B33</f>
        <v>46089</v>
      </c>
      <c r="D688" s="74" t="str">
        <f ca="1">CHOOSE(MATCH(Gastos_Administrativos!F33,{"Arrendamientos";"Servicios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511005</v>
      </c>
      <c r="E688" s="38" t="str">
        <f ca="1">CHOOSE(MATCH(Gastos_Administrativos!F33,{"Arrendamientos";"Servicios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Honorarios</v>
      </c>
      <c r="F688" s="38" t="str">
        <f ca="1">Gastos_Administrativos!D33</f>
        <v>Software Contable Siigo S.A.</v>
      </c>
      <c r="G688" s="38" t="str">
        <f ca="1">Gastos_Administrativos!E33</f>
        <v>830067335-9</v>
      </c>
      <c r="H688" s="38" t="str">
        <f ca="1">"CC-2"&amp;TEXT(MATCH(Gastos_Administrativos!G33,{"Administración";"Ventas";"Bodega";"Logística";"Gerencia"},0),"00")&amp;" "&amp;Gastos_Administrativos!G33</f>
        <v>CC-202 Ventas</v>
      </c>
      <c r="I688" s="38" t="str">
        <f ca="1">"Causación gasto - "&amp;Gastos_Administrativos!C33&amp;" - "&amp;Gastos_Administrativos!A33</f>
        <v>Causación gasto - Honorarios revisoría fiscal - GA-2031</v>
      </c>
      <c r="J688" s="40">
        <f ca="1">Gastos_Administrativos!H33</f>
        <v>3980700</v>
      </c>
      <c r="K688" s="40">
        <f>0</f>
        <v>0</v>
      </c>
      <c r="L688" s="41" t="str">
        <f>Gastos_Administrativos!A33</f>
        <v>GA-2031</v>
      </c>
    </row>
    <row r="689" spans="1:12" x14ac:dyDescent="0.35">
      <c r="A689" s="37" t="str">
        <f>"CE-GA-"&amp;TEXT(5031,"0000")</f>
        <v>CE-GA-5031</v>
      </c>
      <c r="B689" s="38" t="str">
        <f>"Causación Gasto"</f>
        <v>Causación Gasto</v>
      </c>
      <c r="C689" s="39">
        <f ca="1">Gastos_Administrativos!B33</f>
        <v>46089</v>
      </c>
      <c r="D689" s="74" t="str">
        <f>"240810"</f>
        <v>240810</v>
      </c>
      <c r="E689" s="38" t="str">
        <f>"IVA descontable - servicios/compras"</f>
        <v>IVA descontable - servicios/compras</v>
      </c>
      <c r="F689" s="38" t="str">
        <f ca="1">Gastos_Administrativos!D33</f>
        <v>Software Contable Siigo S.A.</v>
      </c>
      <c r="G689" s="38" t="str">
        <f ca="1">Gastos_Administrativos!E33</f>
        <v>830067335-9</v>
      </c>
      <c r="H689" s="38" t="str">
        <f ca="1">"CC-2"&amp;TEXT(MATCH(Gastos_Administrativos!G33,{"Administración";"Ventas";"Bodega";"Logística";"Gerencia"},0),"00")&amp;" "&amp;Gastos_Administrativos!G33</f>
        <v>CC-202 Ventas</v>
      </c>
      <c r="I689" s="38" t="str">
        <f>"IVA descontable factura "&amp;Gastos_Administrativos!A33</f>
        <v>IVA descontable factura GA-2031</v>
      </c>
      <c r="J689" s="40">
        <f ca="1">Gastos_Administrativos!J33</f>
        <v>756333</v>
      </c>
      <c r="K689" s="40">
        <f>0</f>
        <v>0</v>
      </c>
      <c r="L689" s="41" t="str">
        <f>Gastos_Administrativos!A33</f>
        <v>GA-2031</v>
      </c>
    </row>
    <row r="690" spans="1:12" x14ac:dyDescent="0.35">
      <c r="A690" s="37" t="str">
        <f>"CE-GA-"&amp;TEXT(5031,"0000")</f>
        <v>CE-GA-5031</v>
      </c>
      <c r="B690" s="38" t="str">
        <f>"Causación Gasto"</f>
        <v>Causación Gasto</v>
      </c>
      <c r="C690" s="39">
        <f ca="1">Gastos_Administrativos!B33</f>
        <v>46089</v>
      </c>
      <c r="D690" s="74" t="str">
        <f ca="1">IF(Gastos_Administrativos!L33=0,"236540",CHOOSE(MATCH(Gastos_Administrativos!F33,{"Arrendamientos";"Servicios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236515</v>
      </c>
      <c r="E690" s="38" t="str">
        <f ca="1">"ReteFuente "&amp;TEXT(Gastos_Administrativos!L33,"0.00%")&amp;" - "&amp;Gastos_Administrativos!F33</f>
        <v>ReteFuente 011% - Honorarios</v>
      </c>
      <c r="F690" s="38" t="str">
        <f ca="1">Gastos_Administrativos!D33</f>
        <v>Software Contable Siigo S.A.</v>
      </c>
      <c r="G690" s="38" t="str">
        <f ca="1">Gastos_Administrativos!E33</f>
        <v>830067335-9</v>
      </c>
      <c r="H690" s="38" t="str">
        <f ca="1">"CC-2"&amp;TEXT(MATCH(Gastos_Administrativos!G33,{"Administración";"Ventas";"Bodega";"Logística";"Gerencia"},0),"00")&amp;" "&amp;Gastos_Administrativos!G33</f>
        <v>CC-202 Ventas</v>
      </c>
      <c r="I690" s="38" t="str">
        <f ca="1">"ReteFuente "&amp;Gastos_Administrativos!C33&amp;" - "&amp;Gastos_Administrativos!A33</f>
        <v>ReteFuente Honorarios revisoría fiscal - GA-2031</v>
      </c>
      <c r="J690" s="40">
        <f>0</f>
        <v>0</v>
      </c>
      <c r="K690" s="40">
        <f ca="1">Gastos_Administrativos!M33</f>
        <v>437877</v>
      </c>
      <c r="L690" s="41" t="str">
        <f>Gastos_Administrativos!A33</f>
        <v>GA-2031</v>
      </c>
    </row>
    <row r="691" spans="1:12" x14ac:dyDescent="0.35">
      <c r="A691" s="37" t="str">
        <f>"CE-GA-"&amp;TEXT(5031,"0000")</f>
        <v>CE-GA-5031</v>
      </c>
      <c r="B691" s="38" t="str">
        <f>"Causación Gasto"</f>
        <v>Causación Gasto</v>
      </c>
      <c r="C691" s="39">
        <f ca="1">Gastos_Administrativos!B33</f>
        <v>46089</v>
      </c>
      <c r="D691" s="74" t="str">
        <f>"236701"</f>
        <v>236701</v>
      </c>
      <c r="E691" s="38" t="str">
        <f>"Retención IVA - Régimen común 15%"</f>
        <v>Retención IVA - Régimen común 15%</v>
      </c>
      <c r="F691" s="38" t="str">
        <f ca="1">Gastos_Administrativos!D33</f>
        <v>Software Contable Siigo S.A.</v>
      </c>
      <c r="G691" s="38" t="str">
        <f ca="1">Gastos_Administrativos!E33</f>
        <v>830067335-9</v>
      </c>
      <c r="H691" s="38" t="str">
        <f ca="1">"CC-2"&amp;TEXT(MATCH(Gastos_Administrativos!G33,{"Administración";"Ventas";"Bodega";"Logística";"Gerencia"},0),"00")&amp;" "&amp;Gastos_Administrativos!G33</f>
        <v>CC-202 Ventas</v>
      </c>
      <c r="I691" s="38" t="str">
        <f>"ReteIVA 15% sobre IVA factura "&amp;Gastos_Administrativos!A33</f>
        <v>ReteIVA 15% sobre IVA factura GA-2031</v>
      </c>
      <c r="J691" s="40">
        <f>0</f>
        <v>0</v>
      </c>
      <c r="K691" s="40">
        <f ca="1">Gastos_Administrativos!O33</f>
        <v>113450</v>
      </c>
      <c r="L691" s="41" t="str">
        <f>Gastos_Administrativos!A33</f>
        <v>GA-2031</v>
      </c>
    </row>
    <row r="692" spans="1:12" x14ac:dyDescent="0.35">
      <c r="A692" s="37" t="str">
        <f>"CE-GA-"&amp;TEXT(5031,"0000")</f>
        <v>CE-GA-5031</v>
      </c>
      <c r="B692" s="38" t="str">
        <f>"Causación Gasto"</f>
        <v>Causación Gasto</v>
      </c>
      <c r="C692" s="39">
        <f ca="1">Gastos_Administrativos!B33</f>
        <v>46089</v>
      </c>
      <c r="D692" s="74" t="str">
        <f>"236805"</f>
        <v>236805</v>
      </c>
      <c r="E692" s="38" t="str">
        <f>"Retención ICA - Medellín 11.04‰"</f>
        <v>Retención ICA - Medellín 11.04‰</v>
      </c>
      <c r="F692" s="38" t="str">
        <f ca="1">Gastos_Administrativos!D33</f>
        <v>Software Contable Siigo S.A.</v>
      </c>
      <c r="G692" s="38" t="str">
        <f ca="1">Gastos_Administrativos!E33</f>
        <v>830067335-9</v>
      </c>
      <c r="H692" s="38" t="str">
        <f ca="1">"CC-2"&amp;TEXT(MATCH(Gastos_Administrativos!G33,{"Administración";"Ventas";"Bodega";"Logística";"Gerencia"},0),"00")&amp;" "&amp;Gastos_Administrativos!G33</f>
        <v>CC-202 Ventas</v>
      </c>
      <c r="I692" s="38" t="str">
        <f>"ReteICA Medellín sobre gasto "&amp;Gastos_Administrativos!A33</f>
        <v>ReteICA Medellín sobre gasto GA-2031</v>
      </c>
      <c r="J692" s="40">
        <f>0</f>
        <v>0</v>
      </c>
      <c r="K692" s="40">
        <f ca="1">Gastos_Administrativos!Q33</f>
        <v>43947</v>
      </c>
      <c r="L692" s="41" t="str">
        <f>Gastos_Administrativos!A33</f>
        <v>GA-2031</v>
      </c>
    </row>
    <row r="693" spans="1:12" x14ac:dyDescent="0.35">
      <c r="A693" s="37" t="str">
        <f>"CE-GA-"&amp;TEXT(5031,"0000")</f>
        <v>CE-GA-5031</v>
      </c>
      <c r="B693" s="38" t="str">
        <f>"Causación Gasto"</f>
        <v>Causación Gasto</v>
      </c>
      <c r="C693" s="39">
        <f ca="1">Gastos_Administrativos!B33</f>
        <v>46089</v>
      </c>
      <c r="D693" s="74" t="str">
        <f>"233525"</f>
        <v>233525</v>
      </c>
      <c r="E693" s="38" t="str">
        <f>"Costos y gastos por pagar"</f>
        <v>Costos y gastos por pagar</v>
      </c>
      <c r="F693" s="38" t="str">
        <f ca="1">Gastos_Administrativos!D33</f>
        <v>Software Contable Siigo S.A.</v>
      </c>
      <c r="G693" s="38" t="str">
        <f ca="1">Gastos_Administrativos!E33</f>
        <v>830067335-9</v>
      </c>
      <c r="H693" s="38" t="str">
        <f ca="1">"CC-2"&amp;TEXT(MATCH(Gastos_Administrativos!G33,{"Administración";"Ventas";"Bodega";"Logística";"Gerencia"},0),"00")&amp;" "&amp;Gastos_Administrativos!G33</f>
        <v>CC-202 Ventas</v>
      </c>
      <c r="I693" s="38" t="str">
        <f ca="1">"CxP gasto - "&amp;Gastos_Administrativos!D33&amp;" - "&amp;Gastos_Administrativos!A33</f>
        <v>CxP gasto - Software Contable Siigo S.A. - GA-2031</v>
      </c>
      <c r="J693" s="40">
        <f>0</f>
        <v>0</v>
      </c>
      <c r="K693" s="40">
        <f ca="1">Gastos_Administrativos!R33</f>
        <v>4141759</v>
      </c>
      <c r="L693" s="41" t="str">
        <f>Gastos_Administrativos!A33</f>
        <v>GA-2031</v>
      </c>
    </row>
    <row r="694" spans="1:12" x14ac:dyDescent="0.35">
      <c r="A694" s="32" t="str">
        <f>"CE-GA-"&amp;TEXT(5032,"0000")</f>
        <v>CE-GA-5032</v>
      </c>
      <c r="B694" s="33" t="str">
        <f>"Causación Gasto"</f>
        <v>Causación Gasto</v>
      </c>
      <c r="C694" s="34">
        <f ca="1">Gastos_Administrativos!B34</f>
        <v>46106</v>
      </c>
      <c r="D694" s="73" t="str">
        <f ca="1">CHOOSE(MATCH(Gastos_Administrativos!F34,{"Arrendamientos";"Servicios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514505</v>
      </c>
      <c r="E694" s="33" t="str">
        <f ca="1">CHOOSE(MATCH(Gastos_Administrativos!F34,{"Arrendamientos";"Servicios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Mantenimiento y reparaciones</v>
      </c>
      <c r="F694" s="33" t="str">
        <f ca="1">Gastos_Administrativos!D34</f>
        <v>Contadores Asociados Antioquia S.A.S.</v>
      </c>
      <c r="G694" s="33" t="str">
        <f ca="1">Gastos_Administrativos!E34</f>
        <v>901234567-2</v>
      </c>
      <c r="H694" s="33" t="str">
        <f ca="1">"CC-2"&amp;TEXT(MATCH(Gastos_Administrativos!G34,{"Administración";"Ventas";"Bodega";"Logística";"Gerencia"},0),"00")&amp;" "&amp;Gastos_Administrativos!G34</f>
        <v>CC-201 Administración</v>
      </c>
      <c r="I694" s="33" t="str">
        <f ca="1">"Causación gasto - "&amp;Gastos_Administrativos!C34&amp;" - "&amp;Gastos_Administrativos!A34</f>
        <v>Causación gasto - Mantenimiento locativo del local - GA-2032</v>
      </c>
      <c r="J694" s="35">
        <f ca="1">Gastos_Administrativos!H34</f>
        <v>6165000</v>
      </c>
      <c r="K694" s="35">
        <f>0</f>
        <v>0</v>
      </c>
      <c r="L694" s="36" t="str">
        <f>Gastos_Administrativos!A34</f>
        <v>GA-2032</v>
      </c>
    </row>
    <row r="695" spans="1:12" x14ac:dyDescent="0.35">
      <c r="A695" s="32" t="str">
        <f>"CE-GA-"&amp;TEXT(5032,"0000")</f>
        <v>CE-GA-5032</v>
      </c>
      <c r="B695" s="33" t="str">
        <f>"Causación Gasto"</f>
        <v>Causación Gasto</v>
      </c>
      <c r="C695" s="34">
        <f ca="1">Gastos_Administrativos!B34</f>
        <v>46106</v>
      </c>
      <c r="D695" s="73" t="str">
        <f>"240810"</f>
        <v>240810</v>
      </c>
      <c r="E695" s="33" t="str">
        <f>"IVA descontable - servicios/compras"</f>
        <v>IVA descontable - servicios/compras</v>
      </c>
      <c r="F695" s="33" t="str">
        <f ca="1">Gastos_Administrativos!D34</f>
        <v>Contadores Asociados Antioquia S.A.S.</v>
      </c>
      <c r="G695" s="33" t="str">
        <f ca="1">Gastos_Administrativos!E34</f>
        <v>901234567-2</v>
      </c>
      <c r="H695" s="33" t="str">
        <f ca="1">"CC-2"&amp;TEXT(MATCH(Gastos_Administrativos!G34,{"Administración";"Ventas";"Bodega";"Logística";"Gerencia"},0),"00")&amp;" "&amp;Gastos_Administrativos!G34</f>
        <v>CC-201 Administración</v>
      </c>
      <c r="I695" s="33" t="str">
        <f>"IVA descontable factura "&amp;Gastos_Administrativos!A34</f>
        <v>IVA descontable factura GA-2032</v>
      </c>
      <c r="J695" s="35">
        <f ca="1">Gastos_Administrativos!J34</f>
        <v>1171350</v>
      </c>
      <c r="K695" s="35">
        <f>0</f>
        <v>0</v>
      </c>
      <c r="L695" s="36" t="str">
        <f>Gastos_Administrativos!A34</f>
        <v>GA-2032</v>
      </c>
    </row>
    <row r="696" spans="1:12" x14ac:dyDescent="0.35">
      <c r="A696" s="32" t="str">
        <f>"CE-GA-"&amp;TEXT(5032,"0000")</f>
        <v>CE-GA-5032</v>
      </c>
      <c r="B696" s="33" t="str">
        <f>"Causación Gasto"</f>
        <v>Causación Gasto</v>
      </c>
      <c r="C696" s="34">
        <f ca="1">Gastos_Administrativos!B34</f>
        <v>46106</v>
      </c>
      <c r="D696" s="73" t="str">
        <f ca="1">IF(Gastos_Administrativos!L34=0,"236540",CHOOSE(MATCH(Gastos_Administrativos!F34,{"Arrendamientos";"Servicios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236530</v>
      </c>
      <c r="E696" s="33" t="str">
        <f ca="1">"ReteFuente "&amp;TEXT(Gastos_Administrativos!L34,"0.00%")&amp;" - "&amp;Gastos_Administrativos!F34</f>
        <v>ReteFuente 002% - Mantenimiento</v>
      </c>
      <c r="F696" s="33" t="str">
        <f ca="1">Gastos_Administrativos!D34</f>
        <v>Contadores Asociados Antioquia S.A.S.</v>
      </c>
      <c r="G696" s="33" t="str">
        <f ca="1">Gastos_Administrativos!E34</f>
        <v>901234567-2</v>
      </c>
      <c r="H696" s="33" t="str">
        <f ca="1">"CC-2"&amp;TEXT(MATCH(Gastos_Administrativos!G34,{"Administración";"Ventas";"Bodega";"Logística";"Gerencia"},0),"00")&amp;" "&amp;Gastos_Administrativos!G34</f>
        <v>CC-201 Administración</v>
      </c>
      <c r="I696" s="33" t="str">
        <f ca="1">"ReteFuente "&amp;Gastos_Administrativos!C34&amp;" - "&amp;Gastos_Administrativos!A34</f>
        <v>ReteFuente Mantenimiento locativo del local - GA-2032</v>
      </c>
      <c r="J696" s="35">
        <f>0</f>
        <v>0</v>
      </c>
      <c r="K696" s="35">
        <f ca="1">Gastos_Administrativos!M34</f>
        <v>123300</v>
      </c>
      <c r="L696" s="36" t="str">
        <f>Gastos_Administrativos!A34</f>
        <v>GA-2032</v>
      </c>
    </row>
    <row r="697" spans="1:12" x14ac:dyDescent="0.35">
      <c r="A697" s="32" t="str">
        <f>"CE-GA-"&amp;TEXT(5032,"0000")</f>
        <v>CE-GA-5032</v>
      </c>
      <c r="B697" s="33" t="str">
        <f>"Causación Gasto"</f>
        <v>Causación Gasto</v>
      </c>
      <c r="C697" s="34">
        <f ca="1">Gastos_Administrativos!B34</f>
        <v>46106</v>
      </c>
      <c r="D697" s="73" t="str">
        <f>"236701"</f>
        <v>236701</v>
      </c>
      <c r="E697" s="33" t="str">
        <f>"Retención IVA - Régimen común 15%"</f>
        <v>Retención IVA - Régimen común 15%</v>
      </c>
      <c r="F697" s="33" t="str">
        <f ca="1">Gastos_Administrativos!D34</f>
        <v>Contadores Asociados Antioquia S.A.S.</v>
      </c>
      <c r="G697" s="33" t="str">
        <f ca="1">Gastos_Administrativos!E34</f>
        <v>901234567-2</v>
      </c>
      <c r="H697" s="33" t="str">
        <f ca="1">"CC-2"&amp;TEXT(MATCH(Gastos_Administrativos!G34,{"Administración";"Ventas";"Bodega";"Logística";"Gerencia"},0),"00")&amp;" "&amp;Gastos_Administrativos!G34</f>
        <v>CC-201 Administración</v>
      </c>
      <c r="I697" s="33" t="str">
        <f>"ReteIVA 15% sobre IVA factura "&amp;Gastos_Administrativos!A34</f>
        <v>ReteIVA 15% sobre IVA factura GA-2032</v>
      </c>
      <c r="J697" s="35">
        <f>0</f>
        <v>0</v>
      </c>
      <c r="K697" s="35">
        <f ca="1">Gastos_Administrativos!O34</f>
        <v>175703</v>
      </c>
      <c r="L697" s="36" t="str">
        <f>Gastos_Administrativos!A34</f>
        <v>GA-2032</v>
      </c>
    </row>
    <row r="698" spans="1:12" x14ac:dyDescent="0.35">
      <c r="A698" s="32" t="str">
        <f>"CE-GA-"&amp;TEXT(5032,"0000")</f>
        <v>CE-GA-5032</v>
      </c>
      <c r="B698" s="33" t="str">
        <f>"Causación Gasto"</f>
        <v>Causación Gasto</v>
      </c>
      <c r="C698" s="34">
        <f ca="1">Gastos_Administrativos!B34</f>
        <v>46106</v>
      </c>
      <c r="D698" s="73" t="str">
        <f>"236805"</f>
        <v>236805</v>
      </c>
      <c r="E698" s="33" t="str">
        <f>"Retención ICA - Medellín 11.04‰"</f>
        <v>Retención ICA - Medellín 11.04‰</v>
      </c>
      <c r="F698" s="33" t="str">
        <f ca="1">Gastos_Administrativos!D34</f>
        <v>Contadores Asociados Antioquia S.A.S.</v>
      </c>
      <c r="G698" s="33" t="str">
        <f ca="1">Gastos_Administrativos!E34</f>
        <v>901234567-2</v>
      </c>
      <c r="H698" s="33" t="str">
        <f ca="1">"CC-2"&amp;TEXT(MATCH(Gastos_Administrativos!G34,{"Administración";"Ventas";"Bodega";"Logística";"Gerencia"},0),"00")&amp;" "&amp;Gastos_Administrativos!G34</f>
        <v>CC-201 Administración</v>
      </c>
      <c r="I698" s="33" t="str">
        <f>"ReteICA Medellín sobre gasto "&amp;Gastos_Administrativos!A34</f>
        <v>ReteICA Medellín sobre gasto GA-2032</v>
      </c>
      <c r="J698" s="35">
        <f>0</f>
        <v>0</v>
      </c>
      <c r="K698" s="35">
        <f ca="1">Gastos_Administrativos!Q34</f>
        <v>68062</v>
      </c>
      <c r="L698" s="36" t="str">
        <f>Gastos_Administrativos!A34</f>
        <v>GA-2032</v>
      </c>
    </row>
    <row r="699" spans="1:12" x14ac:dyDescent="0.35">
      <c r="A699" s="32" t="str">
        <f>"CE-GA-"&amp;TEXT(5032,"0000")</f>
        <v>CE-GA-5032</v>
      </c>
      <c r="B699" s="33" t="str">
        <f>"Causación Gasto"</f>
        <v>Causación Gasto</v>
      </c>
      <c r="C699" s="34">
        <f ca="1">Gastos_Administrativos!B34</f>
        <v>46106</v>
      </c>
      <c r="D699" s="73" t="str">
        <f>"233525"</f>
        <v>233525</v>
      </c>
      <c r="E699" s="33" t="str">
        <f>"Costos y gastos por pagar"</f>
        <v>Costos y gastos por pagar</v>
      </c>
      <c r="F699" s="33" t="str">
        <f ca="1">Gastos_Administrativos!D34</f>
        <v>Contadores Asociados Antioquia S.A.S.</v>
      </c>
      <c r="G699" s="33" t="str">
        <f ca="1">Gastos_Administrativos!E34</f>
        <v>901234567-2</v>
      </c>
      <c r="H699" s="33" t="str">
        <f ca="1">"CC-2"&amp;TEXT(MATCH(Gastos_Administrativos!G34,{"Administración";"Ventas";"Bodega";"Logística";"Gerencia"},0),"00")&amp;" "&amp;Gastos_Administrativos!G34</f>
        <v>CC-201 Administración</v>
      </c>
      <c r="I699" s="33" t="str">
        <f ca="1">"CxP gasto - "&amp;Gastos_Administrativos!D34&amp;" - "&amp;Gastos_Administrativos!A34</f>
        <v>CxP gasto - Contadores Asociados Antioquia S.A.S. - GA-2032</v>
      </c>
      <c r="J699" s="35">
        <f>0</f>
        <v>0</v>
      </c>
      <c r="K699" s="35">
        <f ca="1">Gastos_Administrativos!R34</f>
        <v>6969285</v>
      </c>
      <c r="L699" s="36" t="str">
        <f>Gastos_Administrativos!A34</f>
        <v>GA-2032</v>
      </c>
    </row>
    <row r="700" spans="1:12" x14ac:dyDescent="0.35">
      <c r="A700" s="37" t="str">
        <f>"CE-GA-"&amp;TEXT(5033,"0000")</f>
        <v>CE-GA-5033</v>
      </c>
      <c r="B700" s="38" t="str">
        <f>"Causación Gasto"</f>
        <v>Causación Gasto</v>
      </c>
      <c r="C700" s="39">
        <f ca="1">Gastos_Administrativos!B35</f>
        <v>46026</v>
      </c>
      <c r="D700" s="74" t="str">
        <f ca="1">CHOOSE(MATCH(Gastos_Administrativos!F35,{"Arrendamientos";"Servicios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513550</v>
      </c>
      <c r="E700" s="38" t="str">
        <f ca="1">CHOOSE(MATCH(Gastos_Administrativos!F35,{"Arrendamientos";"Servicios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Combustibles, peajes y transporte</v>
      </c>
      <c r="F700" s="38" t="str">
        <f ca="1">Gastos_Administrativos!D35</f>
        <v>Inmobiliaria El Poblado S.A.S.</v>
      </c>
      <c r="G700" s="38" t="str">
        <f ca="1">Gastos_Administrativos!E35</f>
        <v>900456789-1</v>
      </c>
      <c r="H700" s="38" t="str">
        <f ca="1">"CC-2"&amp;TEXT(MATCH(Gastos_Administrativos!G35,{"Administración";"Ventas";"Bodega";"Logística";"Gerencia"},0),"00")&amp;" "&amp;Gastos_Administrativos!G35</f>
        <v>CC-203 Bodega</v>
      </c>
      <c r="I700" s="38" t="str">
        <f ca="1">"Causación gasto - "&amp;Gastos_Administrativos!C35&amp;" - "&amp;Gastos_Administrativos!A35</f>
        <v>Causación gasto - Peajes y parqueaderos - GA-2033</v>
      </c>
      <c r="J700" s="40">
        <f ca="1">Gastos_Administrativos!H35</f>
        <v>4429300</v>
      </c>
      <c r="K700" s="40">
        <f>0</f>
        <v>0</v>
      </c>
      <c r="L700" s="41" t="str">
        <f>Gastos_Administrativos!A35</f>
        <v>GA-2033</v>
      </c>
    </row>
    <row r="701" spans="1:12" x14ac:dyDescent="0.35">
      <c r="A701" s="37" t="str">
        <f>"CE-GA-"&amp;TEXT(5033,"0000")</f>
        <v>CE-GA-5033</v>
      </c>
      <c r="B701" s="38" t="str">
        <f>"Causación Gasto"</f>
        <v>Causación Gasto</v>
      </c>
      <c r="C701" s="39">
        <f ca="1">Gastos_Administrativos!B35</f>
        <v>46026</v>
      </c>
      <c r="D701" s="74" t="str">
        <f>"240810"</f>
        <v>240810</v>
      </c>
      <c r="E701" s="38" t="str">
        <f>"IVA descontable - servicios/compras"</f>
        <v>IVA descontable - servicios/compras</v>
      </c>
      <c r="F701" s="38" t="str">
        <f ca="1">Gastos_Administrativos!D35</f>
        <v>Inmobiliaria El Poblado S.A.S.</v>
      </c>
      <c r="G701" s="38" t="str">
        <f ca="1">Gastos_Administrativos!E35</f>
        <v>900456789-1</v>
      </c>
      <c r="H701" s="38" t="str">
        <f ca="1">"CC-2"&amp;TEXT(MATCH(Gastos_Administrativos!G35,{"Administración";"Ventas";"Bodega";"Logística";"Gerencia"},0),"00")&amp;" "&amp;Gastos_Administrativos!G35</f>
        <v>CC-203 Bodega</v>
      </c>
      <c r="I701" s="38" t="str">
        <f>"IVA descontable factura "&amp;Gastos_Administrativos!A35</f>
        <v>IVA descontable factura GA-2033</v>
      </c>
      <c r="J701" s="40">
        <f ca="1">Gastos_Administrativos!J35</f>
        <v>841567</v>
      </c>
      <c r="K701" s="40">
        <f>0</f>
        <v>0</v>
      </c>
      <c r="L701" s="41" t="str">
        <f>Gastos_Administrativos!A35</f>
        <v>GA-2033</v>
      </c>
    </row>
    <row r="702" spans="1:12" x14ac:dyDescent="0.35">
      <c r="A702" s="37" t="str">
        <f>"CE-GA-"&amp;TEXT(5033,"0000")</f>
        <v>CE-GA-5033</v>
      </c>
      <c r="B702" s="38" t="str">
        <f>"Causación Gasto"</f>
        <v>Causación Gasto</v>
      </c>
      <c r="C702" s="39">
        <f ca="1">Gastos_Administrativos!B35</f>
        <v>46026</v>
      </c>
      <c r="D702" s="74" t="str">
        <f ca="1">IF(Gastos_Administrativos!L35=0,"236540",CHOOSE(MATCH(Gastos_Administrativos!F35,{"Arrendamientos";"Servicios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702" s="38" t="str">
        <f ca="1">"ReteFuente "&amp;TEXT(Gastos_Administrativos!L35,"0.00%")&amp;" - "&amp;Gastos_Administrativos!F35</f>
        <v>ReteFuente 000% - Transporte</v>
      </c>
      <c r="F702" s="38" t="str">
        <f ca="1">Gastos_Administrativos!D35</f>
        <v>Inmobiliaria El Poblado S.A.S.</v>
      </c>
      <c r="G702" s="38" t="str">
        <f ca="1">Gastos_Administrativos!E35</f>
        <v>900456789-1</v>
      </c>
      <c r="H702" s="38" t="str">
        <f ca="1">"CC-2"&amp;TEXT(MATCH(Gastos_Administrativos!G35,{"Administración";"Ventas";"Bodega";"Logística";"Gerencia"},0),"00")&amp;" "&amp;Gastos_Administrativos!G35</f>
        <v>CC-203 Bodega</v>
      </c>
      <c r="I702" s="38" t="str">
        <f ca="1">"ReteFuente "&amp;Gastos_Administrativos!C35&amp;" - "&amp;Gastos_Administrativos!A35</f>
        <v>ReteFuente Peajes y parqueaderos - GA-2033</v>
      </c>
      <c r="J702" s="40">
        <f>0</f>
        <v>0</v>
      </c>
      <c r="K702" s="40">
        <f ca="1">Gastos_Administrativos!M35</f>
        <v>0</v>
      </c>
      <c r="L702" s="41" t="str">
        <f>Gastos_Administrativos!A35</f>
        <v>GA-2033</v>
      </c>
    </row>
    <row r="703" spans="1:12" x14ac:dyDescent="0.35">
      <c r="A703" s="37" t="str">
        <f>"CE-GA-"&amp;TEXT(5033,"0000")</f>
        <v>CE-GA-5033</v>
      </c>
      <c r="B703" s="38" t="str">
        <f>"Causación Gasto"</f>
        <v>Causación Gasto</v>
      </c>
      <c r="C703" s="39">
        <f ca="1">Gastos_Administrativos!B35</f>
        <v>46026</v>
      </c>
      <c r="D703" s="74" t="str">
        <f>"236701"</f>
        <v>236701</v>
      </c>
      <c r="E703" s="38" t="str">
        <f>"Retención IVA - Régimen común 15%"</f>
        <v>Retención IVA - Régimen común 15%</v>
      </c>
      <c r="F703" s="38" t="str">
        <f ca="1">Gastos_Administrativos!D35</f>
        <v>Inmobiliaria El Poblado S.A.S.</v>
      </c>
      <c r="G703" s="38" t="str">
        <f ca="1">Gastos_Administrativos!E35</f>
        <v>900456789-1</v>
      </c>
      <c r="H703" s="38" t="str">
        <f ca="1">"CC-2"&amp;TEXT(MATCH(Gastos_Administrativos!G35,{"Administración";"Ventas";"Bodega";"Logística";"Gerencia"},0),"00")&amp;" "&amp;Gastos_Administrativos!G35</f>
        <v>CC-203 Bodega</v>
      </c>
      <c r="I703" s="38" t="str">
        <f>"ReteIVA 15% sobre IVA factura "&amp;Gastos_Administrativos!A35</f>
        <v>ReteIVA 15% sobre IVA factura GA-2033</v>
      </c>
      <c r="J703" s="40">
        <f>0</f>
        <v>0</v>
      </c>
      <c r="K703" s="40">
        <f ca="1">Gastos_Administrativos!O35</f>
        <v>126235</v>
      </c>
      <c r="L703" s="41" t="str">
        <f>Gastos_Administrativos!A35</f>
        <v>GA-2033</v>
      </c>
    </row>
    <row r="704" spans="1:12" x14ac:dyDescent="0.35">
      <c r="A704" s="37" t="str">
        <f>"CE-GA-"&amp;TEXT(5033,"0000")</f>
        <v>CE-GA-5033</v>
      </c>
      <c r="B704" s="38" t="str">
        <f>"Causación Gasto"</f>
        <v>Causación Gasto</v>
      </c>
      <c r="C704" s="39">
        <f ca="1">Gastos_Administrativos!B35</f>
        <v>46026</v>
      </c>
      <c r="D704" s="74" t="str">
        <f>"236805"</f>
        <v>236805</v>
      </c>
      <c r="E704" s="38" t="str">
        <f>"Retención ICA - Medellín 11.04‰"</f>
        <v>Retención ICA - Medellín 11.04‰</v>
      </c>
      <c r="F704" s="38" t="str">
        <f ca="1">Gastos_Administrativos!D35</f>
        <v>Inmobiliaria El Poblado S.A.S.</v>
      </c>
      <c r="G704" s="38" t="str">
        <f ca="1">Gastos_Administrativos!E35</f>
        <v>900456789-1</v>
      </c>
      <c r="H704" s="38" t="str">
        <f ca="1">"CC-2"&amp;TEXT(MATCH(Gastos_Administrativos!G35,{"Administración";"Ventas";"Bodega";"Logística";"Gerencia"},0),"00")&amp;" "&amp;Gastos_Administrativos!G35</f>
        <v>CC-203 Bodega</v>
      </c>
      <c r="I704" s="38" t="str">
        <f>"ReteICA Medellín sobre gasto "&amp;Gastos_Administrativos!A35</f>
        <v>ReteICA Medellín sobre gasto GA-2033</v>
      </c>
      <c r="J704" s="40">
        <f>0</f>
        <v>0</v>
      </c>
      <c r="K704" s="40">
        <f ca="1">Gastos_Administrativos!Q35</f>
        <v>48899</v>
      </c>
      <c r="L704" s="41" t="str">
        <f>Gastos_Administrativos!A35</f>
        <v>GA-2033</v>
      </c>
    </row>
    <row r="705" spans="1:12" x14ac:dyDescent="0.35">
      <c r="A705" s="37" t="str">
        <f>"CE-GA-"&amp;TEXT(5033,"0000")</f>
        <v>CE-GA-5033</v>
      </c>
      <c r="B705" s="38" t="str">
        <f>"Causación Gasto"</f>
        <v>Causación Gasto</v>
      </c>
      <c r="C705" s="39">
        <f ca="1">Gastos_Administrativos!B35</f>
        <v>46026</v>
      </c>
      <c r="D705" s="74" t="str">
        <f>"233525"</f>
        <v>233525</v>
      </c>
      <c r="E705" s="38" t="str">
        <f>"Costos y gastos por pagar"</f>
        <v>Costos y gastos por pagar</v>
      </c>
      <c r="F705" s="38" t="str">
        <f ca="1">Gastos_Administrativos!D35</f>
        <v>Inmobiliaria El Poblado S.A.S.</v>
      </c>
      <c r="G705" s="38" t="str">
        <f ca="1">Gastos_Administrativos!E35</f>
        <v>900456789-1</v>
      </c>
      <c r="H705" s="38" t="str">
        <f ca="1">"CC-2"&amp;TEXT(MATCH(Gastos_Administrativos!G35,{"Administración";"Ventas";"Bodega";"Logística";"Gerencia"},0),"00")&amp;" "&amp;Gastos_Administrativos!G35</f>
        <v>CC-203 Bodega</v>
      </c>
      <c r="I705" s="38" t="str">
        <f ca="1">"CxP gasto - "&amp;Gastos_Administrativos!D35&amp;" - "&amp;Gastos_Administrativos!A35</f>
        <v>CxP gasto - Inmobiliaria El Poblado S.A.S. - GA-2033</v>
      </c>
      <c r="J705" s="40">
        <f>0</f>
        <v>0</v>
      </c>
      <c r="K705" s="40">
        <f ca="1">Gastos_Administrativos!R35</f>
        <v>5095733</v>
      </c>
      <c r="L705" s="41" t="str">
        <f>Gastos_Administrativos!A35</f>
        <v>GA-2033</v>
      </c>
    </row>
    <row r="706" spans="1:12" x14ac:dyDescent="0.35">
      <c r="A706" s="32" t="str">
        <f>"CE-GA-"&amp;TEXT(5034,"0000")</f>
        <v>CE-GA-5034</v>
      </c>
      <c r="B706" s="33" t="str">
        <f>"Causación Gasto"</f>
        <v>Causación Gasto</v>
      </c>
      <c r="C706" s="34">
        <f ca="1">Gastos_Administrativos!B36</f>
        <v>46046</v>
      </c>
      <c r="D706" s="73" t="str">
        <f ca="1">CHOOSE(MATCH(Gastos_Administrativos!F36,{"Arrendamientos";"Servicios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513525</v>
      </c>
      <c r="E706" s="33" t="str">
        <f ca="1">CHOOSE(MATCH(Gastos_Administrativos!F36,{"Arrendamientos";"Servicios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Servicios públicos</v>
      </c>
      <c r="F706" s="33" t="str">
        <f ca="1">Gastos_Administrativos!D36</f>
        <v>Contadores Asociados Antioquia S.A.S.</v>
      </c>
      <c r="G706" s="33" t="str">
        <f ca="1">Gastos_Administrativos!E36</f>
        <v>901234567-2</v>
      </c>
      <c r="H706" s="33" t="str">
        <f ca="1">"CC-2"&amp;TEXT(MATCH(Gastos_Administrativos!G36,{"Administración";"Ventas";"Bodega";"Logística";"Gerencia"},0),"00")&amp;" "&amp;Gastos_Administrativos!G36</f>
        <v>CC-203 Bodega</v>
      </c>
      <c r="I706" s="33" t="str">
        <f ca="1">"Causación gasto - "&amp;Gastos_Administrativos!C36&amp;" - "&amp;Gastos_Administrativos!A36</f>
        <v>Causación gasto - Servicio de gas natural - GA-2034</v>
      </c>
      <c r="J706" s="35">
        <f ca="1">Gastos_Administrativos!H36</f>
        <v>6926900</v>
      </c>
      <c r="K706" s="35">
        <f>0</f>
        <v>0</v>
      </c>
      <c r="L706" s="36" t="str">
        <f>Gastos_Administrativos!A36</f>
        <v>GA-2034</v>
      </c>
    </row>
    <row r="707" spans="1:12" x14ac:dyDescent="0.35">
      <c r="A707" s="32" t="str">
        <f>"CE-GA-"&amp;TEXT(5034,"0000")</f>
        <v>CE-GA-5034</v>
      </c>
      <c r="B707" s="33" t="str">
        <f>"Causación Gasto"</f>
        <v>Causación Gasto</v>
      </c>
      <c r="C707" s="34">
        <f ca="1">Gastos_Administrativos!B36</f>
        <v>46046</v>
      </c>
      <c r="D707" s="73" t="str">
        <f>"240810"</f>
        <v>240810</v>
      </c>
      <c r="E707" s="33" t="str">
        <f>"IVA descontable - servicios/compras"</f>
        <v>IVA descontable - servicios/compras</v>
      </c>
      <c r="F707" s="33" t="str">
        <f ca="1">Gastos_Administrativos!D36</f>
        <v>Contadores Asociados Antioquia S.A.S.</v>
      </c>
      <c r="G707" s="33" t="str">
        <f ca="1">Gastos_Administrativos!E36</f>
        <v>901234567-2</v>
      </c>
      <c r="H707" s="33" t="str">
        <f ca="1">"CC-2"&amp;TEXT(MATCH(Gastos_Administrativos!G36,{"Administración";"Ventas";"Bodega";"Logística";"Gerencia"},0),"00")&amp;" "&amp;Gastos_Administrativos!G36</f>
        <v>CC-203 Bodega</v>
      </c>
      <c r="I707" s="33" t="str">
        <f>"IVA descontable factura "&amp;Gastos_Administrativos!A36</f>
        <v>IVA descontable factura GA-2034</v>
      </c>
      <c r="J707" s="35">
        <f ca="1">Gastos_Administrativos!J36</f>
        <v>0</v>
      </c>
      <c r="K707" s="35">
        <f>0</f>
        <v>0</v>
      </c>
      <c r="L707" s="36" t="str">
        <f>Gastos_Administrativos!A36</f>
        <v>GA-2034</v>
      </c>
    </row>
    <row r="708" spans="1:12" x14ac:dyDescent="0.35">
      <c r="A708" s="32" t="str">
        <f>"CE-GA-"&amp;TEXT(5034,"0000")</f>
        <v>CE-GA-5034</v>
      </c>
      <c r="B708" s="33" t="str">
        <f>"Causación Gasto"</f>
        <v>Causación Gasto</v>
      </c>
      <c r="C708" s="34">
        <f ca="1">Gastos_Administrativos!B36</f>
        <v>46046</v>
      </c>
      <c r="D708" s="73" t="str">
        <f ca="1">IF(Gastos_Administrativos!L36=0,"236540",CHOOSE(MATCH(Gastos_Administrativos!F36,{"Arrendamientos";"Servicios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708" s="33" t="str">
        <f ca="1">"ReteFuente "&amp;TEXT(Gastos_Administrativos!L36,"0.00%")&amp;" - "&amp;Gastos_Administrativos!F36</f>
        <v>ReteFuente 000% - Servicios Públicos</v>
      </c>
      <c r="F708" s="33" t="str">
        <f ca="1">Gastos_Administrativos!D36</f>
        <v>Contadores Asociados Antioquia S.A.S.</v>
      </c>
      <c r="G708" s="33" t="str">
        <f ca="1">Gastos_Administrativos!E36</f>
        <v>901234567-2</v>
      </c>
      <c r="H708" s="33" t="str">
        <f ca="1">"CC-2"&amp;TEXT(MATCH(Gastos_Administrativos!G36,{"Administración";"Ventas";"Bodega";"Logística";"Gerencia"},0),"00")&amp;" "&amp;Gastos_Administrativos!G36</f>
        <v>CC-203 Bodega</v>
      </c>
      <c r="I708" s="33" t="str">
        <f ca="1">"ReteFuente "&amp;Gastos_Administrativos!C36&amp;" - "&amp;Gastos_Administrativos!A36</f>
        <v>ReteFuente Servicio de gas natural - GA-2034</v>
      </c>
      <c r="J708" s="35">
        <f>0</f>
        <v>0</v>
      </c>
      <c r="K708" s="35">
        <f ca="1">Gastos_Administrativos!M36</f>
        <v>0</v>
      </c>
      <c r="L708" s="36" t="str">
        <f>Gastos_Administrativos!A36</f>
        <v>GA-2034</v>
      </c>
    </row>
    <row r="709" spans="1:12" x14ac:dyDescent="0.35">
      <c r="A709" s="32" t="str">
        <f>"CE-GA-"&amp;TEXT(5034,"0000")</f>
        <v>CE-GA-5034</v>
      </c>
      <c r="B709" s="33" t="str">
        <f>"Causación Gasto"</f>
        <v>Causación Gasto</v>
      </c>
      <c r="C709" s="34">
        <f ca="1">Gastos_Administrativos!B36</f>
        <v>46046</v>
      </c>
      <c r="D709" s="73" t="str">
        <f>"236701"</f>
        <v>236701</v>
      </c>
      <c r="E709" s="33" t="str">
        <f>"Retención IVA - Régimen común 15%"</f>
        <v>Retención IVA - Régimen común 15%</v>
      </c>
      <c r="F709" s="33" t="str">
        <f ca="1">Gastos_Administrativos!D36</f>
        <v>Contadores Asociados Antioquia S.A.S.</v>
      </c>
      <c r="G709" s="33" t="str">
        <f ca="1">Gastos_Administrativos!E36</f>
        <v>901234567-2</v>
      </c>
      <c r="H709" s="33" t="str">
        <f ca="1">"CC-2"&amp;TEXT(MATCH(Gastos_Administrativos!G36,{"Administración";"Ventas";"Bodega";"Logística";"Gerencia"},0),"00")&amp;" "&amp;Gastos_Administrativos!G36</f>
        <v>CC-203 Bodega</v>
      </c>
      <c r="I709" s="33" t="str">
        <f>"ReteIVA 15% sobre IVA factura "&amp;Gastos_Administrativos!A36</f>
        <v>ReteIVA 15% sobre IVA factura GA-2034</v>
      </c>
      <c r="J709" s="35">
        <f>0</f>
        <v>0</v>
      </c>
      <c r="K709" s="35">
        <f ca="1">Gastos_Administrativos!O36</f>
        <v>0</v>
      </c>
      <c r="L709" s="36" t="str">
        <f>Gastos_Administrativos!A36</f>
        <v>GA-2034</v>
      </c>
    </row>
    <row r="710" spans="1:12" x14ac:dyDescent="0.35">
      <c r="A710" s="32" t="str">
        <f>"CE-GA-"&amp;TEXT(5034,"0000")</f>
        <v>CE-GA-5034</v>
      </c>
      <c r="B710" s="33" t="str">
        <f>"Causación Gasto"</f>
        <v>Causación Gasto</v>
      </c>
      <c r="C710" s="34">
        <f ca="1">Gastos_Administrativos!B36</f>
        <v>46046</v>
      </c>
      <c r="D710" s="73" t="str">
        <f>"236805"</f>
        <v>236805</v>
      </c>
      <c r="E710" s="33" t="str">
        <f>"Retención ICA - Medellín 11.04‰"</f>
        <v>Retención ICA - Medellín 11.04‰</v>
      </c>
      <c r="F710" s="33" t="str">
        <f ca="1">Gastos_Administrativos!D36</f>
        <v>Contadores Asociados Antioquia S.A.S.</v>
      </c>
      <c r="G710" s="33" t="str">
        <f ca="1">Gastos_Administrativos!E36</f>
        <v>901234567-2</v>
      </c>
      <c r="H710" s="33" t="str">
        <f ca="1">"CC-2"&amp;TEXT(MATCH(Gastos_Administrativos!G36,{"Administración";"Ventas";"Bodega";"Logística";"Gerencia"},0),"00")&amp;" "&amp;Gastos_Administrativos!G36</f>
        <v>CC-203 Bodega</v>
      </c>
      <c r="I710" s="33" t="str">
        <f>"ReteICA Medellín sobre gasto "&amp;Gastos_Administrativos!A36</f>
        <v>ReteICA Medellín sobre gasto GA-2034</v>
      </c>
      <c r="J710" s="35">
        <f>0</f>
        <v>0</v>
      </c>
      <c r="K710" s="35">
        <f ca="1">Gastos_Administrativos!Q36</f>
        <v>76473</v>
      </c>
      <c r="L710" s="36" t="str">
        <f>Gastos_Administrativos!A36</f>
        <v>GA-2034</v>
      </c>
    </row>
    <row r="711" spans="1:12" x14ac:dyDescent="0.35">
      <c r="A711" s="32" t="str">
        <f>"CE-GA-"&amp;TEXT(5034,"0000")</f>
        <v>CE-GA-5034</v>
      </c>
      <c r="B711" s="33" t="str">
        <f>"Causación Gasto"</f>
        <v>Causación Gasto</v>
      </c>
      <c r="C711" s="34">
        <f ca="1">Gastos_Administrativos!B36</f>
        <v>46046</v>
      </c>
      <c r="D711" s="73" t="str">
        <f>"233525"</f>
        <v>233525</v>
      </c>
      <c r="E711" s="33" t="str">
        <f>"Costos y gastos por pagar"</f>
        <v>Costos y gastos por pagar</v>
      </c>
      <c r="F711" s="33" t="str">
        <f ca="1">Gastos_Administrativos!D36</f>
        <v>Contadores Asociados Antioquia S.A.S.</v>
      </c>
      <c r="G711" s="33" t="str">
        <f ca="1">Gastos_Administrativos!E36</f>
        <v>901234567-2</v>
      </c>
      <c r="H711" s="33" t="str">
        <f ca="1">"CC-2"&amp;TEXT(MATCH(Gastos_Administrativos!G36,{"Administración";"Ventas";"Bodega";"Logística";"Gerencia"},0),"00")&amp;" "&amp;Gastos_Administrativos!G36</f>
        <v>CC-203 Bodega</v>
      </c>
      <c r="I711" s="33" t="str">
        <f ca="1">"CxP gasto - "&amp;Gastos_Administrativos!D36&amp;" - "&amp;Gastos_Administrativos!A36</f>
        <v>CxP gasto - Contadores Asociados Antioquia S.A.S. - GA-2034</v>
      </c>
      <c r="J711" s="35">
        <f>0</f>
        <v>0</v>
      </c>
      <c r="K711" s="35">
        <f ca="1">Gastos_Administrativos!R36</f>
        <v>6850427</v>
      </c>
      <c r="L711" s="36" t="str">
        <f>Gastos_Administrativos!A36</f>
        <v>GA-2034</v>
      </c>
    </row>
    <row r="712" spans="1:12" x14ac:dyDescent="0.35">
      <c r="A712" s="37" t="str">
        <f>"CE-GA-"&amp;TEXT(5035,"0000")</f>
        <v>CE-GA-5035</v>
      </c>
      <c r="B712" s="38" t="str">
        <f>"Causación Gasto"</f>
        <v>Causación Gasto</v>
      </c>
      <c r="C712" s="39">
        <f ca="1">Gastos_Administrativos!B37</f>
        <v>46077</v>
      </c>
      <c r="D712" s="74" t="str">
        <f ca="1">CHOOSE(MATCH(Gastos_Administrativos!F37,{"Arrendamientos";"Servicios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513525</v>
      </c>
      <c r="E712" s="38" t="str">
        <f ca="1">CHOOSE(MATCH(Gastos_Administrativos!F37,{"Arrendamientos";"Servicios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Servicios públicos</v>
      </c>
      <c r="F712" s="38" t="str">
        <f ca="1">Gastos_Administrativos!D37</f>
        <v>Aseo Total Medellín S.A.S.</v>
      </c>
      <c r="G712" s="38" t="str">
        <f ca="1">Gastos_Administrativos!E37</f>
        <v>900567890-4</v>
      </c>
      <c r="H712" s="38" t="str">
        <f ca="1">"CC-2"&amp;TEXT(MATCH(Gastos_Administrativos!G37,{"Administración";"Ventas";"Bodega";"Logística";"Gerencia"},0),"00")&amp;" "&amp;Gastos_Administrativos!G37</f>
        <v>CC-202 Ventas</v>
      </c>
      <c r="I712" s="38" t="str">
        <f ca="1">"Causación gasto - "&amp;Gastos_Administrativos!C37&amp;" - "&amp;Gastos_Administrativos!A37</f>
        <v>Causación gasto - Servicio de internet y telefonía - GA-2035</v>
      </c>
      <c r="J712" s="40">
        <f ca="1">Gastos_Administrativos!H37</f>
        <v>7519600</v>
      </c>
      <c r="K712" s="40">
        <f>0</f>
        <v>0</v>
      </c>
      <c r="L712" s="41" t="str">
        <f>Gastos_Administrativos!A37</f>
        <v>GA-2035</v>
      </c>
    </row>
    <row r="713" spans="1:12" x14ac:dyDescent="0.35">
      <c r="A713" s="37" t="str">
        <f>"CE-GA-"&amp;TEXT(5035,"0000")</f>
        <v>CE-GA-5035</v>
      </c>
      <c r="B713" s="38" t="str">
        <f>"Causación Gasto"</f>
        <v>Causación Gasto</v>
      </c>
      <c r="C713" s="39">
        <f ca="1">Gastos_Administrativos!B37</f>
        <v>46077</v>
      </c>
      <c r="D713" s="74" t="str">
        <f>"240810"</f>
        <v>240810</v>
      </c>
      <c r="E713" s="38" t="str">
        <f>"IVA descontable - servicios/compras"</f>
        <v>IVA descontable - servicios/compras</v>
      </c>
      <c r="F713" s="38" t="str">
        <f ca="1">Gastos_Administrativos!D37</f>
        <v>Aseo Total Medellín S.A.S.</v>
      </c>
      <c r="G713" s="38" t="str">
        <f ca="1">Gastos_Administrativos!E37</f>
        <v>900567890-4</v>
      </c>
      <c r="H713" s="38" t="str">
        <f ca="1">"CC-2"&amp;TEXT(MATCH(Gastos_Administrativos!G37,{"Administración";"Ventas";"Bodega";"Logística";"Gerencia"},0),"00")&amp;" "&amp;Gastos_Administrativos!G37</f>
        <v>CC-202 Ventas</v>
      </c>
      <c r="I713" s="38" t="str">
        <f>"IVA descontable factura "&amp;Gastos_Administrativos!A37</f>
        <v>IVA descontable factura GA-2035</v>
      </c>
      <c r="J713" s="40">
        <f ca="1">Gastos_Administrativos!J37</f>
        <v>0</v>
      </c>
      <c r="K713" s="40">
        <f>0</f>
        <v>0</v>
      </c>
      <c r="L713" s="41" t="str">
        <f>Gastos_Administrativos!A37</f>
        <v>GA-2035</v>
      </c>
    </row>
    <row r="714" spans="1:12" x14ac:dyDescent="0.35">
      <c r="A714" s="37" t="str">
        <f>"CE-GA-"&amp;TEXT(5035,"0000")</f>
        <v>CE-GA-5035</v>
      </c>
      <c r="B714" s="38" t="str">
        <f>"Causación Gasto"</f>
        <v>Causación Gasto</v>
      </c>
      <c r="C714" s="39">
        <f ca="1">Gastos_Administrativos!B37</f>
        <v>46077</v>
      </c>
      <c r="D714" s="74" t="str">
        <f ca="1">IF(Gastos_Administrativos!L37=0,"236540",CHOOSE(MATCH(Gastos_Administrativos!F37,{"Arrendamientos";"Servicios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714" s="38" t="str">
        <f ca="1">"ReteFuente "&amp;TEXT(Gastos_Administrativos!L37,"0.00%")&amp;" - "&amp;Gastos_Administrativos!F37</f>
        <v>ReteFuente 004% - Servicios Públicos</v>
      </c>
      <c r="F714" s="38" t="str">
        <f ca="1">Gastos_Administrativos!D37</f>
        <v>Aseo Total Medellín S.A.S.</v>
      </c>
      <c r="G714" s="38" t="str">
        <f ca="1">Gastos_Administrativos!E37</f>
        <v>900567890-4</v>
      </c>
      <c r="H714" s="38" t="str">
        <f ca="1">"CC-2"&amp;TEXT(MATCH(Gastos_Administrativos!G37,{"Administración";"Ventas";"Bodega";"Logística";"Gerencia"},0),"00")&amp;" "&amp;Gastos_Administrativos!G37</f>
        <v>CC-202 Ventas</v>
      </c>
      <c r="I714" s="38" t="str">
        <f ca="1">"ReteFuente "&amp;Gastos_Administrativos!C37&amp;" - "&amp;Gastos_Administrativos!A37</f>
        <v>ReteFuente Servicio de internet y telefonía - GA-2035</v>
      </c>
      <c r="J714" s="40">
        <f>0</f>
        <v>0</v>
      </c>
      <c r="K714" s="40">
        <f ca="1">Gastos_Administrativos!M37</f>
        <v>300784</v>
      </c>
      <c r="L714" s="41" t="str">
        <f>Gastos_Administrativos!A37</f>
        <v>GA-2035</v>
      </c>
    </row>
    <row r="715" spans="1:12" x14ac:dyDescent="0.35">
      <c r="A715" s="37" t="str">
        <f>"CE-GA-"&amp;TEXT(5035,"0000")</f>
        <v>CE-GA-5035</v>
      </c>
      <c r="B715" s="38" t="str">
        <f>"Causación Gasto"</f>
        <v>Causación Gasto</v>
      </c>
      <c r="C715" s="39">
        <f ca="1">Gastos_Administrativos!B37</f>
        <v>46077</v>
      </c>
      <c r="D715" s="74" t="str">
        <f>"236701"</f>
        <v>236701</v>
      </c>
      <c r="E715" s="38" t="str">
        <f>"Retención IVA - Régimen común 15%"</f>
        <v>Retención IVA - Régimen común 15%</v>
      </c>
      <c r="F715" s="38" t="str">
        <f ca="1">Gastos_Administrativos!D37</f>
        <v>Aseo Total Medellín S.A.S.</v>
      </c>
      <c r="G715" s="38" t="str">
        <f ca="1">Gastos_Administrativos!E37</f>
        <v>900567890-4</v>
      </c>
      <c r="H715" s="38" t="str">
        <f ca="1">"CC-2"&amp;TEXT(MATCH(Gastos_Administrativos!G37,{"Administración";"Ventas";"Bodega";"Logística";"Gerencia"},0),"00")&amp;" "&amp;Gastos_Administrativos!G37</f>
        <v>CC-202 Ventas</v>
      </c>
      <c r="I715" s="38" t="str">
        <f>"ReteIVA 15% sobre IVA factura "&amp;Gastos_Administrativos!A37</f>
        <v>ReteIVA 15% sobre IVA factura GA-2035</v>
      </c>
      <c r="J715" s="40">
        <f>0</f>
        <v>0</v>
      </c>
      <c r="K715" s="40">
        <f ca="1">Gastos_Administrativos!O37</f>
        <v>0</v>
      </c>
      <c r="L715" s="41" t="str">
        <f>Gastos_Administrativos!A37</f>
        <v>GA-2035</v>
      </c>
    </row>
    <row r="716" spans="1:12" x14ac:dyDescent="0.35">
      <c r="A716" s="37" t="str">
        <f>"CE-GA-"&amp;TEXT(5035,"0000")</f>
        <v>CE-GA-5035</v>
      </c>
      <c r="B716" s="38" t="str">
        <f>"Causación Gasto"</f>
        <v>Causación Gasto</v>
      </c>
      <c r="C716" s="39">
        <f ca="1">Gastos_Administrativos!B37</f>
        <v>46077</v>
      </c>
      <c r="D716" s="74" t="str">
        <f>"236805"</f>
        <v>236805</v>
      </c>
      <c r="E716" s="38" t="str">
        <f>"Retención ICA - Medellín 11.04‰"</f>
        <v>Retención ICA - Medellín 11.04‰</v>
      </c>
      <c r="F716" s="38" t="str">
        <f ca="1">Gastos_Administrativos!D37</f>
        <v>Aseo Total Medellín S.A.S.</v>
      </c>
      <c r="G716" s="38" t="str">
        <f ca="1">Gastos_Administrativos!E37</f>
        <v>900567890-4</v>
      </c>
      <c r="H716" s="38" t="str">
        <f ca="1">"CC-2"&amp;TEXT(MATCH(Gastos_Administrativos!G37,{"Administración";"Ventas";"Bodega";"Logística";"Gerencia"},0),"00")&amp;" "&amp;Gastos_Administrativos!G37</f>
        <v>CC-202 Ventas</v>
      </c>
      <c r="I716" s="38" t="str">
        <f>"ReteICA Medellín sobre gasto "&amp;Gastos_Administrativos!A37</f>
        <v>ReteICA Medellín sobre gasto GA-2035</v>
      </c>
      <c r="J716" s="40">
        <f>0</f>
        <v>0</v>
      </c>
      <c r="K716" s="40">
        <f ca="1">Gastos_Administrativos!Q37</f>
        <v>83016</v>
      </c>
      <c r="L716" s="41" t="str">
        <f>Gastos_Administrativos!A37</f>
        <v>GA-2035</v>
      </c>
    </row>
    <row r="717" spans="1:12" x14ac:dyDescent="0.35">
      <c r="A717" s="37" t="str">
        <f>"CE-GA-"&amp;TEXT(5035,"0000")</f>
        <v>CE-GA-5035</v>
      </c>
      <c r="B717" s="38" t="str">
        <f>"Causación Gasto"</f>
        <v>Causación Gasto</v>
      </c>
      <c r="C717" s="39">
        <f ca="1">Gastos_Administrativos!B37</f>
        <v>46077</v>
      </c>
      <c r="D717" s="74" t="str">
        <f>"233525"</f>
        <v>233525</v>
      </c>
      <c r="E717" s="38" t="str">
        <f>"Costos y gastos por pagar"</f>
        <v>Costos y gastos por pagar</v>
      </c>
      <c r="F717" s="38" t="str">
        <f ca="1">Gastos_Administrativos!D37</f>
        <v>Aseo Total Medellín S.A.S.</v>
      </c>
      <c r="G717" s="38" t="str">
        <f ca="1">Gastos_Administrativos!E37</f>
        <v>900567890-4</v>
      </c>
      <c r="H717" s="38" t="str">
        <f ca="1">"CC-2"&amp;TEXT(MATCH(Gastos_Administrativos!G37,{"Administración";"Ventas";"Bodega";"Logística";"Gerencia"},0),"00")&amp;" "&amp;Gastos_Administrativos!G37</f>
        <v>CC-202 Ventas</v>
      </c>
      <c r="I717" s="38" t="str">
        <f ca="1">"CxP gasto - "&amp;Gastos_Administrativos!D37&amp;" - "&amp;Gastos_Administrativos!A37</f>
        <v>CxP gasto - Aseo Total Medellín S.A.S. - GA-2035</v>
      </c>
      <c r="J717" s="40">
        <f>0</f>
        <v>0</v>
      </c>
      <c r="K717" s="40">
        <f ca="1">Gastos_Administrativos!R37</f>
        <v>7135800</v>
      </c>
      <c r="L717" s="41" t="str">
        <f>Gastos_Administrativos!A37</f>
        <v>GA-2035</v>
      </c>
    </row>
    <row r="718" spans="1:12" x14ac:dyDescent="0.35">
      <c r="A718" s="32" t="str">
        <f>"CE-GA-"&amp;TEXT(5036,"0000")</f>
        <v>CE-GA-5036</v>
      </c>
      <c r="B718" s="33" t="str">
        <f>"Causación Gasto"</f>
        <v>Causación Gasto</v>
      </c>
      <c r="C718" s="34">
        <f ca="1">Gastos_Administrativos!B38</f>
        <v>46132</v>
      </c>
      <c r="D718" s="73" t="str">
        <f ca="1">CHOOSE(MATCH(Gastos_Administrativos!F38,{"Arrendamientos";"Servicios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514505</v>
      </c>
      <c r="E718" s="33" t="str">
        <f ca="1">CHOOSE(MATCH(Gastos_Administrativos!F38,{"Arrendamientos";"Servicios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Mantenimiento y reparaciones</v>
      </c>
      <c r="F718" s="33" t="str">
        <f ca="1">Gastos_Administrativos!D38</f>
        <v>Centro de Capacitación SST Antioquia</v>
      </c>
      <c r="G718" s="33" t="str">
        <f ca="1">Gastos_Administrativos!E38</f>
        <v>901678901-3</v>
      </c>
      <c r="H718" s="33" t="str">
        <f ca="1">"CC-2"&amp;TEXT(MATCH(Gastos_Administrativos!G38,{"Administración";"Ventas";"Bodega";"Logística";"Gerencia"},0),"00")&amp;" "&amp;Gastos_Administrativos!G38</f>
        <v>CC-204 Logística</v>
      </c>
      <c r="I718" s="33" t="str">
        <f ca="1">"Causación gasto - "&amp;Gastos_Administrativos!C38&amp;" - "&amp;Gastos_Administrativos!A38</f>
        <v>Causación gasto - Mantenimiento equipos de cómputo - GA-2036</v>
      </c>
      <c r="J718" s="35">
        <f ca="1">Gastos_Administrativos!H38</f>
        <v>789700</v>
      </c>
      <c r="K718" s="35">
        <f>0</f>
        <v>0</v>
      </c>
      <c r="L718" s="36" t="str">
        <f>Gastos_Administrativos!A38</f>
        <v>GA-2036</v>
      </c>
    </row>
    <row r="719" spans="1:12" x14ac:dyDescent="0.35">
      <c r="A719" s="32" t="str">
        <f>"CE-GA-"&amp;TEXT(5036,"0000")</f>
        <v>CE-GA-5036</v>
      </c>
      <c r="B719" s="33" t="str">
        <f>"Causación Gasto"</f>
        <v>Causación Gasto</v>
      </c>
      <c r="C719" s="34">
        <f ca="1">Gastos_Administrativos!B38</f>
        <v>46132</v>
      </c>
      <c r="D719" s="73" t="str">
        <f>"240810"</f>
        <v>240810</v>
      </c>
      <c r="E719" s="33" t="str">
        <f>"IVA descontable - servicios/compras"</f>
        <v>IVA descontable - servicios/compras</v>
      </c>
      <c r="F719" s="33" t="str">
        <f ca="1">Gastos_Administrativos!D38</f>
        <v>Centro de Capacitación SST Antioquia</v>
      </c>
      <c r="G719" s="33" t="str">
        <f ca="1">Gastos_Administrativos!E38</f>
        <v>901678901-3</v>
      </c>
      <c r="H719" s="33" t="str">
        <f ca="1">"CC-2"&amp;TEXT(MATCH(Gastos_Administrativos!G38,{"Administración";"Ventas";"Bodega";"Logística";"Gerencia"},0),"00")&amp;" "&amp;Gastos_Administrativos!G38</f>
        <v>CC-204 Logística</v>
      </c>
      <c r="I719" s="33" t="str">
        <f>"IVA descontable factura "&amp;Gastos_Administrativos!A38</f>
        <v>IVA descontable factura GA-2036</v>
      </c>
      <c r="J719" s="35">
        <f ca="1">Gastos_Administrativos!J38</f>
        <v>150043</v>
      </c>
      <c r="K719" s="35">
        <f>0</f>
        <v>0</v>
      </c>
      <c r="L719" s="36" t="str">
        <f>Gastos_Administrativos!A38</f>
        <v>GA-2036</v>
      </c>
    </row>
    <row r="720" spans="1:12" x14ac:dyDescent="0.35">
      <c r="A720" s="32" t="str">
        <f>"CE-GA-"&amp;TEXT(5036,"0000")</f>
        <v>CE-GA-5036</v>
      </c>
      <c r="B720" s="33" t="str">
        <f>"Causación Gasto"</f>
        <v>Causación Gasto</v>
      </c>
      <c r="C720" s="34">
        <f ca="1">Gastos_Administrativos!B38</f>
        <v>46132</v>
      </c>
      <c r="D720" s="73" t="str">
        <f ca="1">IF(Gastos_Administrativos!L38=0,"236540",CHOOSE(MATCH(Gastos_Administrativos!F38,{"Arrendamientos";"Servicios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236530</v>
      </c>
      <c r="E720" s="33" t="str">
        <f ca="1">"ReteFuente "&amp;TEXT(Gastos_Administrativos!L38,"0.00%")&amp;" - "&amp;Gastos_Administrativos!F38</f>
        <v>ReteFuente 004% - Mantenimiento</v>
      </c>
      <c r="F720" s="33" t="str">
        <f ca="1">Gastos_Administrativos!D38</f>
        <v>Centro de Capacitación SST Antioquia</v>
      </c>
      <c r="G720" s="33" t="str">
        <f ca="1">Gastos_Administrativos!E38</f>
        <v>901678901-3</v>
      </c>
      <c r="H720" s="33" t="str">
        <f ca="1">"CC-2"&amp;TEXT(MATCH(Gastos_Administrativos!G38,{"Administración";"Ventas";"Bodega";"Logística";"Gerencia"},0),"00")&amp;" "&amp;Gastos_Administrativos!G38</f>
        <v>CC-204 Logística</v>
      </c>
      <c r="I720" s="33" t="str">
        <f ca="1">"ReteFuente "&amp;Gastos_Administrativos!C38&amp;" - "&amp;Gastos_Administrativos!A38</f>
        <v>ReteFuente Mantenimiento equipos de cómputo - GA-2036</v>
      </c>
      <c r="J720" s="35">
        <f>0</f>
        <v>0</v>
      </c>
      <c r="K720" s="35">
        <f ca="1">Gastos_Administrativos!M38</f>
        <v>31588</v>
      </c>
      <c r="L720" s="36" t="str">
        <f>Gastos_Administrativos!A38</f>
        <v>GA-2036</v>
      </c>
    </row>
    <row r="721" spans="1:12" x14ac:dyDescent="0.35">
      <c r="A721" s="32" t="str">
        <f>"CE-GA-"&amp;TEXT(5036,"0000")</f>
        <v>CE-GA-5036</v>
      </c>
      <c r="B721" s="33" t="str">
        <f>"Causación Gasto"</f>
        <v>Causación Gasto</v>
      </c>
      <c r="C721" s="34">
        <f ca="1">Gastos_Administrativos!B38</f>
        <v>46132</v>
      </c>
      <c r="D721" s="73" t="str">
        <f>"236701"</f>
        <v>236701</v>
      </c>
      <c r="E721" s="33" t="str">
        <f>"Retención IVA - Régimen común 15%"</f>
        <v>Retención IVA - Régimen común 15%</v>
      </c>
      <c r="F721" s="33" t="str">
        <f ca="1">Gastos_Administrativos!D38</f>
        <v>Centro de Capacitación SST Antioquia</v>
      </c>
      <c r="G721" s="33" t="str">
        <f ca="1">Gastos_Administrativos!E38</f>
        <v>901678901-3</v>
      </c>
      <c r="H721" s="33" t="str">
        <f ca="1">"CC-2"&amp;TEXT(MATCH(Gastos_Administrativos!G38,{"Administración";"Ventas";"Bodega";"Logística";"Gerencia"},0),"00")&amp;" "&amp;Gastos_Administrativos!G38</f>
        <v>CC-204 Logística</v>
      </c>
      <c r="I721" s="33" t="str">
        <f>"ReteIVA 15% sobre IVA factura "&amp;Gastos_Administrativos!A38</f>
        <v>ReteIVA 15% sobre IVA factura GA-2036</v>
      </c>
      <c r="J721" s="35">
        <f>0</f>
        <v>0</v>
      </c>
      <c r="K721" s="35">
        <f ca="1">Gastos_Administrativos!O38</f>
        <v>22506</v>
      </c>
      <c r="L721" s="36" t="str">
        <f>Gastos_Administrativos!A38</f>
        <v>GA-2036</v>
      </c>
    </row>
    <row r="722" spans="1:12" x14ac:dyDescent="0.35">
      <c r="A722" s="32" t="str">
        <f>"CE-GA-"&amp;TEXT(5036,"0000")</f>
        <v>CE-GA-5036</v>
      </c>
      <c r="B722" s="33" t="str">
        <f>"Causación Gasto"</f>
        <v>Causación Gasto</v>
      </c>
      <c r="C722" s="34">
        <f ca="1">Gastos_Administrativos!B38</f>
        <v>46132</v>
      </c>
      <c r="D722" s="73" t="str">
        <f>"236805"</f>
        <v>236805</v>
      </c>
      <c r="E722" s="33" t="str">
        <f>"Retención ICA - Medellín 11.04‰"</f>
        <v>Retención ICA - Medellín 11.04‰</v>
      </c>
      <c r="F722" s="33" t="str">
        <f ca="1">Gastos_Administrativos!D38</f>
        <v>Centro de Capacitación SST Antioquia</v>
      </c>
      <c r="G722" s="33" t="str">
        <f ca="1">Gastos_Administrativos!E38</f>
        <v>901678901-3</v>
      </c>
      <c r="H722" s="33" t="str">
        <f ca="1">"CC-2"&amp;TEXT(MATCH(Gastos_Administrativos!G38,{"Administración";"Ventas";"Bodega";"Logística";"Gerencia"},0),"00")&amp;" "&amp;Gastos_Administrativos!G38</f>
        <v>CC-204 Logística</v>
      </c>
      <c r="I722" s="33" t="str">
        <f>"ReteICA Medellín sobre gasto "&amp;Gastos_Administrativos!A38</f>
        <v>ReteICA Medellín sobre gasto GA-2036</v>
      </c>
      <c r="J722" s="35">
        <f>0</f>
        <v>0</v>
      </c>
      <c r="K722" s="35">
        <f ca="1">Gastos_Administrativos!Q38</f>
        <v>8718</v>
      </c>
      <c r="L722" s="36" t="str">
        <f>Gastos_Administrativos!A38</f>
        <v>GA-2036</v>
      </c>
    </row>
    <row r="723" spans="1:12" x14ac:dyDescent="0.35">
      <c r="A723" s="32" t="str">
        <f>"CE-GA-"&amp;TEXT(5036,"0000")</f>
        <v>CE-GA-5036</v>
      </c>
      <c r="B723" s="33" t="str">
        <f>"Causación Gasto"</f>
        <v>Causación Gasto</v>
      </c>
      <c r="C723" s="34">
        <f ca="1">Gastos_Administrativos!B38</f>
        <v>46132</v>
      </c>
      <c r="D723" s="73" t="str">
        <f>"233525"</f>
        <v>233525</v>
      </c>
      <c r="E723" s="33" t="str">
        <f>"Costos y gastos por pagar"</f>
        <v>Costos y gastos por pagar</v>
      </c>
      <c r="F723" s="33" t="str">
        <f ca="1">Gastos_Administrativos!D38</f>
        <v>Centro de Capacitación SST Antioquia</v>
      </c>
      <c r="G723" s="33" t="str">
        <f ca="1">Gastos_Administrativos!E38</f>
        <v>901678901-3</v>
      </c>
      <c r="H723" s="33" t="str">
        <f ca="1">"CC-2"&amp;TEXT(MATCH(Gastos_Administrativos!G38,{"Administración";"Ventas";"Bodega";"Logística";"Gerencia"},0),"00")&amp;" "&amp;Gastos_Administrativos!G38</f>
        <v>CC-204 Logística</v>
      </c>
      <c r="I723" s="33" t="str">
        <f ca="1">"CxP gasto - "&amp;Gastos_Administrativos!D38&amp;" - "&amp;Gastos_Administrativos!A38</f>
        <v>CxP gasto - Centro de Capacitación SST Antioquia - GA-2036</v>
      </c>
      <c r="J723" s="35">
        <f>0</f>
        <v>0</v>
      </c>
      <c r="K723" s="35">
        <f ca="1">Gastos_Administrativos!R38</f>
        <v>876931</v>
      </c>
      <c r="L723" s="36" t="str">
        <f>Gastos_Administrativos!A38</f>
        <v>GA-2036</v>
      </c>
    </row>
    <row r="724" spans="1:12" x14ac:dyDescent="0.35">
      <c r="A724" s="37" t="str">
        <f>"CE-GA-"&amp;TEXT(5037,"0000")</f>
        <v>CE-GA-5037</v>
      </c>
      <c r="B724" s="38" t="str">
        <f>"Causación Gasto"</f>
        <v>Causación Gasto</v>
      </c>
      <c r="C724" s="39">
        <f ca="1">Gastos_Administrativos!B39</f>
        <v>46097</v>
      </c>
      <c r="D724" s="74" t="str">
        <f ca="1">CHOOSE(MATCH(Gastos_Administrativos!F39,{"Arrendamientos";"Servicios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514505</v>
      </c>
      <c r="E724" s="38" t="str">
        <f ca="1">CHOOSE(MATCH(Gastos_Administrativos!F39,{"Arrendamientos";"Servicios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Mantenimiento y reparaciones</v>
      </c>
      <c r="F724" s="38" t="str">
        <f ca="1">Gastos_Administrativos!D39</f>
        <v>Taller Mecánico El Paisa Ltda.</v>
      </c>
      <c r="G724" s="38" t="str">
        <f ca="1">Gastos_Administrativos!E39</f>
        <v>890456789-5</v>
      </c>
      <c r="H724" s="38" t="str">
        <f ca="1">"CC-2"&amp;TEXT(MATCH(Gastos_Administrativos!G39,{"Administración";"Ventas";"Bodega";"Logística";"Gerencia"},0),"00")&amp;" "&amp;Gastos_Administrativos!G39</f>
        <v>CC-201 Administración</v>
      </c>
      <c r="I724" s="38" t="str">
        <f ca="1">"Causación gasto - "&amp;Gastos_Administrativos!C39&amp;" - "&amp;Gastos_Administrativos!A39</f>
        <v>Causación gasto - Mantenimiento vehículo de reparto - GA-2037</v>
      </c>
      <c r="J724" s="40">
        <f ca="1">Gastos_Administrativos!H39</f>
        <v>2421800</v>
      </c>
      <c r="K724" s="40">
        <f>0</f>
        <v>0</v>
      </c>
      <c r="L724" s="41" t="str">
        <f>Gastos_Administrativos!A39</f>
        <v>GA-2037</v>
      </c>
    </row>
    <row r="725" spans="1:12" x14ac:dyDescent="0.35">
      <c r="A725" s="37" t="str">
        <f>"CE-GA-"&amp;TEXT(5037,"0000")</f>
        <v>CE-GA-5037</v>
      </c>
      <c r="B725" s="38" t="str">
        <f>"Causación Gasto"</f>
        <v>Causación Gasto</v>
      </c>
      <c r="C725" s="39">
        <f ca="1">Gastos_Administrativos!B39</f>
        <v>46097</v>
      </c>
      <c r="D725" s="74" t="str">
        <f>"240810"</f>
        <v>240810</v>
      </c>
      <c r="E725" s="38" t="str">
        <f>"IVA descontable - servicios/compras"</f>
        <v>IVA descontable - servicios/compras</v>
      </c>
      <c r="F725" s="38" t="str">
        <f ca="1">Gastos_Administrativos!D39</f>
        <v>Taller Mecánico El Paisa Ltda.</v>
      </c>
      <c r="G725" s="38" t="str">
        <f ca="1">Gastos_Administrativos!E39</f>
        <v>890456789-5</v>
      </c>
      <c r="H725" s="38" t="str">
        <f ca="1">"CC-2"&amp;TEXT(MATCH(Gastos_Administrativos!G39,{"Administración";"Ventas";"Bodega";"Logística";"Gerencia"},0),"00")&amp;" "&amp;Gastos_Administrativos!G39</f>
        <v>CC-201 Administración</v>
      </c>
      <c r="I725" s="38" t="str">
        <f>"IVA descontable factura "&amp;Gastos_Administrativos!A39</f>
        <v>IVA descontable factura GA-2037</v>
      </c>
      <c r="J725" s="40">
        <f ca="1">Gastos_Administrativos!J39</f>
        <v>460142</v>
      </c>
      <c r="K725" s="40">
        <f>0</f>
        <v>0</v>
      </c>
      <c r="L725" s="41" t="str">
        <f>Gastos_Administrativos!A39</f>
        <v>GA-2037</v>
      </c>
    </row>
    <row r="726" spans="1:12" x14ac:dyDescent="0.35">
      <c r="A726" s="37" t="str">
        <f>"CE-GA-"&amp;TEXT(5037,"0000")</f>
        <v>CE-GA-5037</v>
      </c>
      <c r="B726" s="38" t="str">
        <f>"Causación Gasto"</f>
        <v>Causación Gasto</v>
      </c>
      <c r="C726" s="39">
        <f ca="1">Gastos_Administrativos!B39</f>
        <v>46097</v>
      </c>
      <c r="D726" s="74" t="str">
        <f ca="1">IF(Gastos_Administrativos!L39=0,"236540",CHOOSE(MATCH(Gastos_Administrativos!F39,{"Arrendamientos";"Servicios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236530</v>
      </c>
      <c r="E726" s="38" t="str">
        <f ca="1">"ReteFuente "&amp;TEXT(Gastos_Administrativos!L39,"0.00%")&amp;" - "&amp;Gastos_Administrativos!F39</f>
        <v>ReteFuente 004% - Mantenimiento</v>
      </c>
      <c r="F726" s="38" t="str">
        <f ca="1">Gastos_Administrativos!D39</f>
        <v>Taller Mecánico El Paisa Ltda.</v>
      </c>
      <c r="G726" s="38" t="str">
        <f ca="1">Gastos_Administrativos!E39</f>
        <v>890456789-5</v>
      </c>
      <c r="H726" s="38" t="str">
        <f ca="1">"CC-2"&amp;TEXT(MATCH(Gastos_Administrativos!G39,{"Administración";"Ventas";"Bodega";"Logística";"Gerencia"},0),"00")&amp;" "&amp;Gastos_Administrativos!G39</f>
        <v>CC-201 Administración</v>
      </c>
      <c r="I726" s="38" t="str">
        <f ca="1">"ReteFuente "&amp;Gastos_Administrativos!C39&amp;" - "&amp;Gastos_Administrativos!A39</f>
        <v>ReteFuente Mantenimiento vehículo de reparto - GA-2037</v>
      </c>
      <c r="J726" s="40">
        <f>0</f>
        <v>0</v>
      </c>
      <c r="K726" s="40">
        <f ca="1">Gastos_Administrativos!M39</f>
        <v>96872</v>
      </c>
      <c r="L726" s="41" t="str">
        <f>Gastos_Administrativos!A39</f>
        <v>GA-2037</v>
      </c>
    </row>
    <row r="727" spans="1:12" x14ac:dyDescent="0.35">
      <c r="A727" s="37" t="str">
        <f>"CE-GA-"&amp;TEXT(5037,"0000")</f>
        <v>CE-GA-5037</v>
      </c>
      <c r="B727" s="38" t="str">
        <f>"Causación Gasto"</f>
        <v>Causación Gasto</v>
      </c>
      <c r="C727" s="39">
        <f ca="1">Gastos_Administrativos!B39</f>
        <v>46097</v>
      </c>
      <c r="D727" s="74" t="str">
        <f>"236701"</f>
        <v>236701</v>
      </c>
      <c r="E727" s="38" t="str">
        <f>"Retención IVA - Régimen común 15%"</f>
        <v>Retención IVA - Régimen común 15%</v>
      </c>
      <c r="F727" s="38" t="str">
        <f ca="1">Gastos_Administrativos!D39</f>
        <v>Taller Mecánico El Paisa Ltda.</v>
      </c>
      <c r="G727" s="38" t="str">
        <f ca="1">Gastos_Administrativos!E39</f>
        <v>890456789-5</v>
      </c>
      <c r="H727" s="38" t="str">
        <f ca="1">"CC-2"&amp;TEXT(MATCH(Gastos_Administrativos!G39,{"Administración";"Ventas";"Bodega";"Logística";"Gerencia"},0),"00")&amp;" "&amp;Gastos_Administrativos!G39</f>
        <v>CC-201 Administración</v>
      </c>
      <c r="I727" s="38" t="str">
        <f>"ReteIVA 15% sobre IVA factura "&amp;Gastos_Administrativos!A39</f>
        <v>ReteIVA 15% sobre IVA factura GA-2037</v>
      </c>
      <c r="J727" s="40">
        <f>0</f>
        <v>0</v>
      </c>
      <c r="K727" s="40">
        <f ca="1">Gastos_Administrativos!O39</f>
        <v>69021</v>
      </c>
      <c r="L727" s="41" t="str">
        <f>Gastos_Administrativos!A39</f>
        <v>GA-2037</v>
      </c>
    </row>
    <row r="728" spans="1:12" x14ac:dyDescent="0.35">
      <c r="A728" s="37" t="str">
        <f>"CE-GA-"&amp;TEXT(5037,"0000")</f>
        <v>CE-GA-5037</v>
      </c>
      <c r="B728" s="38" t="str">
        <f>"Causación Gasto"</f>
        <v>Causación Gasto</v>
      </c>
      <c r="C728" s="39">
        <f ca="1">Gastos_Administrativos!B39</f>
        <v>46097</v>
      </c>
      <c r="D728" s="74" t="str">
        <f>"236805"</f>
        <v>236805</v>
      </c>
      <c r="E728" s="38" t="str">
        <f>"Retención ICA - Medellín 11.04‰"</f>
        <v>Retención ICA - Medellín 11.04‰</v>
      </c>
      <c r="F728" s="38" t="str">
        <f ca="1">Gastos_Administrativos!D39</f>
        <v>Taller Mecánico El Paisa Ltda.</v>
      </c>
      <c r="G728" s="38" t="str">
        <f ca="1">Gastos_Administrativos!E39</f>
        <v>890456789-5</v>
      </c>
      <c r="H728" s="38" t="str">
        <f ca="1">"CC-2"&amp;TEXT(MATCH(Gastos_Administrativos!G39,{"Administración";"Ventas";"Bodega";"Logística";"Gerencia"},0),"00")&amp;" "&amp;Gastos_Administrativos!G39</f>
        <v>CC-201 Administración</v>
      </c>
      <c r="I728" s="38" t="str">
        <f>"ReteICA Medellín sobre gasto "&amp;Gastos_Administrativos!A39</f>
        <v>ReteICA Medellín sobre gasto GA-2037</v>
      </c>
      <c r="J728" s="40">
        <f>0</f>
        <v>0</v>
      </c>
      <c r="K728" s="40">
        <f ca="1">Gastos_Administrativos!Q39</f>
        <v>26737</v>
      </c>
      <c r="L728" s="41" t="str">
        <f>Gastos_Administrativos!A39</f>
        <v>GA-2037</v>
      </c>
    </row>
    <row r="729" spans="1:12" x14ac:dyDescent="0.35">
      <c r="A729" s="37" t="str">
        <f>"CE-GA-"&amp;TEXT(5037,"0000")</f>
        <v>CE-GA-5037</v>
      </c>
      <c r="B729" s="38" t="str">
        <f>"Causación Gasto"</f>
        <v>Causación Gasto</v>
      </c>
      <c r="C729" s="39">
        <f ca="1">Gastos_Administrativos!B39</f>
        <v>46097</v>
      </c>
      <c r="D729" s="74" t="str">
        <f>"233525"</f>
        <v>233525</v>
      </c>
      <c r="E729" s="38" t="str">
        <f>"Costos y gastos por pagar"</f>
        <v>Costos y gastos por pagar</v>
      </c>
      <c r="F729" s="38" t="str">
        <f ca="1">Gastos_Administrativos!D39</f>
        <v>Taller Mecánico El Paisa Ltda.</v>
      </c>
      <c r="G729" s="38" t="str">
        <f ca="1">Gastos_Administrativos!E39</f>
        <v>890456789-5</v>
      </c>
      <c r="H729" s="38" t="str">
        <f ca="1">"CC-2"&amp;TEXT(MATCH(Gastos_Administrativos!G39,{"Administración";"Ventas";"Bodega";"Logística";"Gerencia"},0),"00")&amp;" "&amp;Gastos_Administrativos!G39</f>
        <v>CC-201 Administración</v>
      </c>
      <c r="I729" s="38" t="str">
        <f ca="1">"CxP gasto - "&amp;Gastos_Administrativos!D39&amp;" - "&amp;Gastos_Administrativos!A39</f>
        <v>CxP gasto - Taller Mecánico El Paisa Ltda. - GA-2037</v>
      </c>
      <c r="J729" s="40">
        <f>0</f>
        <v>0</v>
      </c>
      <c r="K729" s="40">
        <f ca="1">Gastos_Administrativos!R39</f>
        <v>2689312</v>
      </c>
      <c r="L729" s="41" t="str">
        <f>Gastos_Administrativos!A39</f>
        <v>GA-2037</v>
      </c>
    </row>
    <row r="730" spans="1:12" x14ac:dyDescent="0.35">
      <c r="A730" s="32" t="str">
        <f>"CE-GA-"&amp;TEXT(5038,"0000")</f>
        <v>CE-GA-5038</v>
      </c>
      <c r="B730" s="33" t="str">
        <f>"Causación Gasto"</f>
        <v>Causación Gasto</v>
      </c>
      <c r="C730" s="34">
        <f ca="1">Gastos_Administrativos!B40</f>
        <v>46023</v>
      </c>
      <c r="D730" s="73" t="str">
        <f ca="1">CHOOSE(MATCH(Gastos_Administrativos!F40,{"Arrendamientos";"Servicios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519525</v>
      </c>
      <c r="E730" s="33" t="str">
        <f ca="1">CHOOSE(MATCH(Gastos_Administrativos!F40,{"Arrendamientos";"Servicios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Útiles, papelería y fotocopias</v>
      </c>
      <c r="F730" s="33" t="str">
        <f ca="1">Gastos_Administrativos!D40</f>
        <v>Vigilancia Andina Seguridad Ltda.</v>
      </c>
      <c r="G730" s="33" t="str">
        <f ca="1">Gastos_Administrativos!E40</f>
        <v>800678901-5</v>
      </c>
      <c r="H730" s="33" t="str">
        <f ca="1">"CC-2"&amp;TEXT(MATCH(Gastos_Administrativos!G40,{"Administración";"Ventas";"Bodega";"Logística";"Gerencia"},0),"00")&amp;" "&amp;Gastos_Administrativos!G40</f>
        <v>CC-202 Ventas</v>
      </c>
      <c r="I730" s="33" t="str">
        <f ca="1">"Causación gasto - "&amp;Gastos_Administrativos!C40&amp;" - "&amp;Gastos_Administrativos!A40</f>
        <v>Causación gasto - Papelería y útiles de oficina - GA-2038</v>
      </c>
      <c r="J730" s="35">
        <f ca="1">Gastos_Administrativos!H40</f>
        <v>7441800</v>
      </c>
      <c r="K730" s="35">
        <f>0</f>
        <v>0</v>
      </c>
      <c r="L730" s="36" t="str">
        <f>Gastos_Administrativos!A40</f>
        <v>GA-2038</v>
      </c>
    </row>
    <row r="731" spans="1:12" x14ac:dyDescent="0.35">
      <c r="A731" s="32" t="str">
        <f>"CE-GA-"&amp;TEXT(5038,"0000")</f>
        <v>CE-GA-5038</v>
      </c>
      <c r="B731" s="33" t="str">
        <f>"Causación Gasto"</f>
        <v>Causación Gasto</v>
      </c>
      <c r="C731" s="34">
        <f ca="1">Gastos_Administrativos!B40</f>
        <v>46023</v>
      </c>
      <c r="D731" s="73" t="str">
        <f>"240810"</f>
        <v>240810</v>
      </c>
      <c r="E731" s="33" t="str">
        <f>"IVA descontable - servicios/compras"</f>
        <v>IVA descontable - servicios/compras</v>
      </c>
      <c r="F731" s="33" t="str">
        <f ca="1">Gastos_Administrativos!D40</f>
        <v>Vigilancia Andina Seguridad Ltda.</v>
      </c>
      <c r="G731" s="33" t="str">
        <f ca="1">Gastos_Administrativos!E40</f>
        <v>800678901-5</v>
      </c>
      <c r="H731" s="33" t="str">
        <f ca="1">"CC-2"&amp;TEXT(MATCH(Gastos_Administrativos!G40,{"Administración";"Ventas";"Bodega";"Logística";"Gerencia"},0),"00")&amp;" "&amp;Gastos_Administrativos!G40</f>
        <v>CC-202 Ventas</v>
      </c>
      <c r="I731" s="33" t="str">
        <f>"IVA descontable factura "&amp;Gastos_Administrativos!A40</f>
        <v>IVA descontable factura GA-2038</v>
      </c>
      <c r="J731" s="35">
        <f ca="1">Gastos_Administrativos!J40</f>
        <v>1413942</v>
      </c>
      <c r="K731" s="35">
        <f>0</f>
        <v>0</v>
      </c>
      <c r="L731" s="36" t="str">
        <f>Gastos_Administrativos!A40</f>
        <v>GA-2038</v>
      </c>
    </row>
    <row r="732" spans="1:12" x14ac:dyDescent="0.35">
      <c r="A732" s="32" t="str">
        <f>"CE-GA-"&amp;TEXT(5038,"0000")</f>
        <v>CE-GA-5038</v>
      </c>
      <c r="B732" s="33" t="str">
        <f>"Causación Gasto"</f>
        <v>Causación Gasto</v>
      </c>
      <c r="C732" s="34">
        <f ca="1">Gastos_Administrativos!B40</f>
        <v>46023</v>
      </c>
      <c r="D732" s="73" t="str">
        <f ca="1">IF(Gastos_Administrativos!L40=0,"236540",CHOOSE(MATCH(Gastos_Administrativos!F40,{"Arrendamientos";"Servicios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732" s="33" t="str">
        <f ca="1">"ReteFuente "&amp;TEXT(Gastos_Administrativos!L40,"0.00%")&amp;" - "&amp;Gastos_Administrativos!F40</f>
        <v>ReteFuente 003% - Suministros</v>
      </c>
      <c r="F732" s="33" t="str">
        <f ca="1">Gastos_Administrativos!D40</f>
        <v>Vigilancia Andina Seguridad Ltda.</v>
      </c>
      <c r="G732" s="33" t="str">
        <f ca="1">Gastos_Administrativos!E40</f>
        <v>800678901-5</v>
      </c>
      <c r="H732" s="33" t="str">
        <f ca="1">"CC-2"&amp;TEXT(MATCH(Gastos_Administrativos!G40,{"Administración";"Ventas";"Bodega";"Logística";"Gerencia"},0),"00")&amp;" "&amp;Gastos_Administrativos!G40</f>
        <v>CC-202 Ventas</v>
      </c>
      <c r="I732" s="33" t="str">
        <f ca="1">"ReteFuente "&amp;Gastos_Administrativos!C40&amp;" - "&amp;Gastos_Administrativos!A40</f>
        <v>ReteFuente Papelería y útiles de oficina - GA-2038</v>
      </c>
      <c r="J732" s="35">
        <f>0</f>
        <v>0</v>
      </c>
      <c r="K732" s="35">
        <f ca="1">Gastos_Administrativos!M40</f>
        <v>186045</v>
      </c>
      <c r="L732" s="36" t="str">
        <f>Gastos_Administrativos!A40</f>
        <v>GA-2038</v>
      </c>
    </row>
    <row r="733" spans="1:12" x14ac:dyDescent="0.35">
      <c r="A733" s="32" t="str">
        <f>"CE-GA-"&amp;TEXT(5038,"0000")</f>
        <v>CE-GA-5038</v>
      </c>
      <c r="B733" s="33" t="str">
        <f>"Causación Gasto"</f>
        <v>Causación Gasto</v>
      </c>
      <c r="C733" s="34">
        <f ca="1">Gastos_Administrativos!B40</f>
        <v>46023</v>
      </c>
      <c r="D733" s="73" t="str">
        <f>"236701"</f>
        <v>236701</v>
      </c>
      <c r="E733" s="33" t="str">
        <f>"Retención IVA - Régimen común 15%"</f>
        <v>Retención IVA - Régimen común 15%</v>
      </c>
      <c r="F733" s="33" t="str">
        <f ca="1">Gastos_Administrativos!D40</f>
        <v>Vigilancia Andina Seguridad Ltda.</v>
      </c>
      <c r="G733" s="33" t="str">
        <f ca="1">Gastos_Administrativos!E40</f>
        <v>800678901-5</v>
      </c>
      <c r="H733" s="33" t="str">
        <f ca="1">"CC-2"&amp;TEXT(MATCH(Gastos_Administrativos!G40,{"Administración";"Ventas";"Bodega";"Logística";"Gerencia"},0),"00")&amp;" "&amp;Gastos_Administrativos!G40</f>
        <v>CC-202 Ventas</v>
      </c>
      <c r="I733" s="33" t="str">
        <f>"ReteIVA 15% sobre IVA factura "&amp;Gastos_Administrativos!A40</f>
        <v>ReteIVA 15% sobre IVA factura GA-2038</v>
      </c>
      <c r="J733" s="35">
        <f>0</f>
        <v>0</v>
      </c>
      <c r="K733" s="35">
        <f ca="1">Gastos_Administrativos!O40</f>
        <v>212091</v>
      </c>
      <c r="L733" s="36" t="str">
        <f>Gastos_Administrativos!A40</f>
        <v>GA-2038</v>
      </c>
    </row>
    <row r="734" spans="1:12" x14ac:dyDescent="0.35">
      <c r="A734" s="32" t="str">
        <f>"CE-GA-"&amp;TEXT(5038,"0000")</f>
        <v>CE-GA-5038</v>
      </c>
      <c r="B734" s="33" t="str">
        <f>"Causación Gasto"</f>
        <v>Causación Gasto</v>
      </c>
      <c r="C734" s="34">
        <f ca="1">Gastos_Administrativos!B40</f>
        <v>46023</v>
      </c>
      <c r="D734" s="73" t="str">
        <f>"236805"</f>
        <v>236805</v>
      </c>
      <c r="E734" s="33" t="str">
        <f>"Retención ICA - Medellín 11.04‰"</f>
        <v>Retención ICA - Medellín 11.04‰</v>
      </c>
      <c r="F734" s="33" t="str">
        <f ca="1">Gastos_Administrativos!D40</f>
        <v>Vigilancia Andina Seguridad Ltda.</v>
      </c>
      <c r="G734" s="33" t="str">
        <f ca="1">Gastos_Administrativos!E40</f>
        <v>800678901-5</v>
      </c>
      <c r="H734" s="33" t="str">
        <f ca="1">"CC-2"&amp;TEXT(MATCH(Gastos_Administrativos!G40,{"Administración";"Ventas";"Bodega";"Logística";"Gerencia"},0),"00")&amp;" "&amp;Gastos_Administrativos!G40</f>
        <v>CC-202 Ventas</v>
      </c>
      <c r="I734" s="33" t="str">
        <f>"ReteICA Medellín sobre gasto "&amp;Gastos_Administrativos!A40</f>
        <v>ReteICA Medellín sobre gasto GA-2038</v>
      </c>
      <c r="J734" s="35">
        <f>0</f>
        <v>0</v>
      </c>
      <c r="K734" s="35">
        <f ca="1">Gastos_Administrativos!Q40</f>
        <v>82157</v>
      </c>
      <c r="L734" s="36" t="str">
        <f>Gastos_Administrativos!A40</f>
        <v>GA-2038</v>
      </c>
    </row>
    <row r="735" spans="1:12" x14ac:dyDescent="0.35">
      <c r="A735" s="32" t="str">
        <f>"CE-GA-"&amp;TEXT(5038,"0000")</f>
        <v>CE-GA-5038</v>
      </c>
      <c r="B735" s="33" t="str">
        <f>"Causación Gasto"</f>
        <v>Causación Gasto</v>
      </c>
      <c r="C735" s="34">
        <f ca="1">Gastos_Administrativos!B40</f>
        <v>46023</v>
      </c>
      <c r="D735" s="73" t="str">
        <f>"233525"</f>
        <v>233525</v>
      </c>
      <c r="E735" s="33" t="str">
        <f>"Costos y gastos por pagar"</f>
        <v>Costos y gastos por pagar</v>
      </c>
      <c r="F735" s="33" t="str">
        <f ca="1">Gastos_Administrativos!D40</f>
        <v>Vigilancia Andina Seguridad Ltda.</v>
      </c>
      <c r="G735" s="33" t="str">
        <f ca="1">Gastos_Administrativos!E40</f>
        <v>800678901-5</v>
      </c>
      <c r="H735" s="33" t="str">
        <f ca="1">"CC-2"&amp;TEXT(MATCH(Gastos_Administrativos!G40,{"Administración";"Ventas";"Bodega";"Logística";"Gerencia"},0),"00")&amp;" "&amp;Gastos_Administrativos!G40</f>
        <v>CC-202 Ventas</v>
      </c>
      <c r="I735" s="33" t="str">
        <f ca="1">"CxP gasto - "&amp;Gastos_Administrativos!D40&amp;" - "&amp;Gastos_Administrativos!A40</f>
        <v>CxP gasto - Vigilancia Andina Seguridad Ltda. - GA-2038</v>
      </c>
      <c r="J735" s="35">
        <f>0</f>
        <v>0</v>
      </c>
      <c r="K735" s="35">
        <f ca="1">Gastos_Administrativos!R40</f>
        <v>8375449</v>
      </c>
      <c r="L735" s="36" t="str">
        <f>Gastos_Administrativos!A40</f>
        <v>GA-2038</v>
      </c>
    </row>
    <row r="736" spans="1:12" x14ac:dyDescent="0.35">
      <c r="A736" s="37" t="str">
        <f>"CE-GA-"&amp;TEXT(5039,"0000")</f>
        <v>CE-GA-5039</v>
      </c>
      <c r="B736" s="38" t="str">
        <f>"Causación Gasto"</f>
        <v>Causación Gasto</v>
      </c>
      <c r="C736" s="39">
        <f ca="1">Gastos_Administrativos!B41</f>
        <v>46030</v>
      </c>
      <c r="D736" s="74" t="str">
        <f ca="1">CHOOSE(MATCH(Gastos_Administrativos!F41,{"Arrendamientos";"Servicios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514505</v>
      </c>
      <c r="E736" s="38" t="str">
        <f ca="1">CHOOSE(MATCH(Gastos_Administrativos!F41,{"Arrendamientos";"Servicios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Mantenimiento y reparaciones</v>
      </c>
      <c r="F736" s="38" t="str">
        <f ca="1">Gastos_Administrativos!D41</f>
        <v>Distribuidora Café Aburrá Ltda.</v>
      </c>
      <c r="G736" s="38" t="str">
        <f ca="1">Gastos_Administrativos!E41</f>
        <v>901890123-7</v>
      </c>
      <c r="H736" s="38" t="str">
        <f ca="1">"CC-2"&amp;TEXT(MATCH(Gastos_Administrativos!G41,{"Administración";"Ventas";"Bodega";"Logística";"Gerencia"},0),"00")&amp;" "&amp;Gastos_Administrativos!G41</f>
        <v>CC-203 Bodega</v>
      </c>
      <c r="I736" s="38" t="str">
        <f ca="1">"Causación gasto - "&amp;Gastos_Administrativos!C41&amp;" - "&amp;Gastos_Administrativos!A41</f>
        <v>Causación gasto - Mantenimiento vehículo de reparto - GA-2039</v>
      </c>
      <c r="J736" s="40">
        <f ca="1">Gastos_Administrativos!H41</f>
        <v>6111500</v>
      </c>
      <c r="K736" s="40">
        <f>0</f>
        <v>0</v>
      </c>
      <c r="L736" s="41" t="str">
        <f>Gastos_Administrativos!A41</f>
        <v>GA-2039</v>
      </c>
    </row>
    <row r="737" spans="1:12" x14ac:dyDescent="0.35">
      <c r="A737" s="37" t="str">
        <f>"CE-GA-"&amp;TEXT(5039,"0000")</f>
        <v>CE-GA-5039</v>
      </c>
      <c r="B737" s="38" t="str">
        <f>"Causación Gasto"</f>
        <v>Causación Gasto</v>
      </c>
      <c r="C737" s="39">
        <f ca="1">Gastos_Administrativos!B41</f>
        <v>46030</v>
      </c>
      <c r="D737" s="74" t="str">
        <f>"240810"</f>
        <v>240810</v>
      </c>
      <c r="E737" s="38" t="str">
        <f>"IVA descontable - servicios/compras"</f>
        <v>IVA descontable - servicios/compras</v>
      </c>
      <c r="F737" s="38" t="str">
        <f ca="1">Gastos_Administrativos!D41</f>
        <v>Distribuidora Café Aburrá Ltda.</v>
      </c>
      <c r="G737" s="38" t="str">
        <f ca="1">Gastos_Administrativos!E41</f>
        <v>901890123-7</v>
      </c>
      <c r="H737" s="38" t="str">
        <f ca="1">"CC-2"&amp;TEXT(MATCH(Gastos_Administrativos!G41,{"Administración";"Ventas";"Bodega";"Logística";"Gerencia"},0),"00")&amp;" "&amp;Gastos_Administrativos!G41</f>
        <v>CC-203 Bodega</v>
      </c>
      <c r="I737" s="38" t="str">
        <f>"IVA descontable factura "&amp;Gastos_Administrativos!A41</f>
        <v>IVA descontable factura GA-2039</v>
      </c>
      <c r="J737" s="40">
        <f ca="1">Gastos_Administrativos!J41</f>
        <v>1161185</v>
      </c>
      <c r="K737" s="40">
        <f>0</f>
        <v>0</v>
      </c>
      <c r="L737" s="41" t="str">
        <f>Gastos_Administrativos!A41</f>
        <v>GA-2039</v>
      </c>
    </row>
    <row r="738" spans="1:12" x14ac:dyDescent="0.35">
      <c r="A738" s="37" t="str">
        <f>"CE-GA-"&amp;TEXT(5039,"0000")</f>
        <v>CE-GA-5039</v>
      </c>
      <c r="B738" s="38" t="str">
        <f>"Causación Gasto"</f>
        <v>Causación Gasto</v>
      </c>
      <c r="C738" s="39">
        <f ca="1">Gastos_Administrativos!B41</f>
        <v>46030</v>
      </c>
      <c r="D738" s="74" t="str">
        <f ca="1">IF(Gastos_Administrativos!L41=0,"236540",CHOOSE(MATCH(Gastos_Administrativos!F41,{"Arrendamientos";"Servicios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236530</v>
      </c>
      <c r="E738" s="38" t="str">
        <f ca="1">"ReteFuente "&amp;TEXT(Gastos_Administrativos!L41,"0.00%")&amp;" - "&amp;Gastos_Administrativos!F41</f>
        <v>ReteFuente 004% - Mantenimiento</v>
      </c>
      <c r="F738" s="38" t="str">
        <f ca="1">Gastos_Administrativos!D41</f>
        <v>Distribuidora Café Aburrá Ltda.</v>
      </c>
      <c r="G738" s="38" t="str">
        <f ca="1">Gastos_Administrativos!E41</f>
        <v>901890123-7</v>
      </c>
      <c r="H738" s="38" t="str">
        <f ca="1">"CC-2"&amp;TEXT(MATCH(Gastos_Administrativos!G41,{"Administración";"Ventas";"Bodega";"Logística";"Gerencia"},0),"00")&amp;" "&amp;Gastos_Administrativos!G41</f>
        <v>CC-203 Bodega</v>
      </c>
      <c r="I738" s="38" t="str">
        <f ca="1">"ReteFuente "&amp;Gastos_Administrativos!C41&amp;" - "&amp;Gastos_Administrativos!A41</f>
        <v>ReteFuente Mantenimiento vehículo de reparto - GA-2039</v>
      </c>
      <c r="J738" s="40">
        <f>0</f>
        <v>0</v>
      </c>
      <c r="K738" s="40">
        <f ca="1">Gastos_Administrativos!M41</f>
        <v>244460</v>
      </c>
      <c r="L738" s="41" t="str">
        <f>Gastos_Administrativos!A41</f>
        <v>GA-2039</v>
      </c>
    </row>
    <row r="739" spans="1:12" x14ac:dyDescent="0.35">
      <c r="A739" s="37" t="str">
        <f>"CE-GA-"&amp;TEXT(5039,"0000")</f>
        <v>CE-GA-5039</v>
      </c>
      <c r="B739" s="38" t="str">
        <f>"Causación Gasto"</f>
        <v>Causación Gasto</v>
      </c>
      <c r="C739" s="39">
        <f ca="1">Gastos_Administrativos!B41</f>
        <v>46030</v>
      </c>
      <c r="D739" s="74" t="str">
        <f>"236701"</f>
        <v>236701</v>
      </c>
      <c r="E739" s="38" t="str">
        <f>"Retención IVA - Régimen común 15%"</f>
        <v>Retención IVA - Régimen común 15%</v>
      </c>
      <c r="F739" s="38" t="str">
        <f ca="1">Gastos_Administrativos!D41</f>
        <v>Distribuidora Café Aburrá Ltda.</v>
      </c>
      <c r="G739" s="38" t="str">
        <f ca="1">Gastos_Administrativos!E41</f>
        <v>901890123-7</v>
      </c>
      <c r="H739" s="38" t="str">
        <f ca="1">"CC-2"&amp;TEXT(MATCH(Gastos_Administrativos!G41,{"Administración";"Ventas";"Bodega";"Logística";"Gerencia"},0),"00")&amp;" "&amp;Gastos_Administrativos!G41</f>
        <v>CC-203 Bodega</v>
      </c>
      <c r="I739" s="38" t="str">
        <f>"ReteIVA 15% sobre IVA factura "&amp;Gastos_Administrativos!A41</f>
        <v>ReteIVA 15% sobre IVA factura GA-2039</v>
      </c>
      <c r="J739" s="40">
        <f>0</f>
        <v>0</v>
      </c>
      <c r="K739" s="40">
        <f ca="1">Gastos_Administrativos!O41</f>
        <v>174178</v>
      </c>
      <c r="L739" s="41" t="str">
        <f>Gastos_Administrativos!A41</f>
        <v>GA-2039</v>
      </c>
    </row>
    <row r="740" spans="1:12" x14ac:dyDescent="0.35">
      <c r="A740" s="37" t="str">
        <f>"CE-GA-"&amp;TEXT(5039,"0000")</f>
        <v>CE-GA-5039</v>
      </c>
      <c r="B740" s="38" t="str">
        <f>"Causación Gasto"</f>
        <v>Causación Gasto</v>
      </c>
      <c r="C740" s="39">
        <f ca="1">Gastos_Administrativos!B41</f>
        <v>46030</v>
      </c>
      <c r="D740" s="74" t="str">
        <f>"236805"</f>
        <v>236805</v>
      </c>
      <c r="E740" s="38" t="str">
        <f>"Retención ICA - Medellín 11.04‰"</f>
        <v>Retención ICA - Medellín 11.04‰</v>
      </c>
      <c r="F740" s="38" t="str">
        <f ca="1">Gastos_Administrativos!D41</f>
        <v>Distribuidora Café Aburrá Ltda.</v>
      </c>
      <c r="G740" s="38" t="str">
        <f ca="1">Gastos_Administrativos!E41</f>
        <v>901890123-7</v>
      </c>
      <c r="H740" s="38" t="str">
        <f ca="1">"CC-2"&amp;TEXT(MATCH(Gastos_Administrativos!G41,{"Administración";"Ventas";"Bodega";"Logística";"Gerencia"},0),"00")&amp;" "&amp;Gastos_Administrativos!G41</f>
        <v>CC-203 Bodega</v>
      </c>
      <c r="I740" s="38" t="str">
        <f>"ReteICA Medellín sobre gasto "&amp;Gastos_Administrativos!A41</f>
        <v>ReteICA Medellín sobre gasto GA-2039</v>
      </c>
      <c r="J740" s="40">
        <f>0</f>
        <v>0</v>
      </c>
      <c r="K740" s="40">
        <f ca="1">Gastos_Administrativos!Q41</f>
        <v>67471</v>
      </c>
      <c r="L740" s="41" t="str">
        <f>Gastos_Administrativos!A41</f>
        <v>GA-2039</v>
      </c>
    </row>
    <row r="741" spans="1:12" x14ac:dyDescent="0.35">
      <c r="A741" s="37" t="str">
        <f>"CE-GA-"&amp;TEXT(5039,"0000")</f>
        <v>CE-GA-5039</v>
      </c>
      <c r="B741" s="38" t="str">
        <f>"Causación Gasto"</f>
        <v>Causación Gasto</v>
      </c>
      <c r="C741" s="39">
        <f ca="1">Gastos_Administrativos!B41</f>
        <v>46030</v>
      </c>
      <c r="D741" s="74" t="str">
        <f>"233525"</f>
        <v>233525</v>
      </c>
      <c r="E741" s="38" t="str">
        <f>"Costos y gastos por pagar"</f>
        <v>Costos y gastos por pagar</v>
      </c>
      <c r="F741" s="38" t="str">
        <f ca="1">Gastos_Administrativos!D41</f>
        <v>Distribuidora Café Aburrá Ltda.</v>
      </c>
      <c r="G741" s="38" t="str">
        <f ca="1">Gastos_Administrativos!E41</f>
        <v>901890123-7</v>
      </c>
      <c r="H741" s="38" t="str">
        <f ca="1">"CC-2"&amp;TEXT(MATCH(Gastos_Administrativos!G41,{"Administración";"Ventas";"Bodega";"Logística";"Gerencia"},0),"00")&amp;" "&amp;Gastos_Administrativos!G41</f>
        <v>CC-203 Bodega</v>
      </c>
      <c r="I741" s="38" t="str">
        <f ca="1">"CxP gasto - "&amp;Gastos_Administrativos!D41&amp;" - "&amp;Gastos_Administrativos!A41</f>
        <v>CxP gasto - Distribuidora Café Aburrá Ltda. - GA-2039</v>
      </c>
      <c r="J741" s="40">
        <f>0</f>
        <v>0</v>
      </c>
      <c r="K741" s="40">
        <f ca="1">Gastos_Administrativos!R41</f>
        <v>6786576</v>
      </c>
      <c r="L741" s="41" t="str">
        <f>Gastos_Administrativos!A41</f>
        <v>GA-2039</v>
      </c>
    </row>
    <row r="742" spans="1:12" x14ac:dyDescent="0.35">
      <c r="A742" s="32" t="str">
        <f>"CE-GA-"&amp;TEXT(5040,"0000")</f>
        <v>CE-GA-5040</v>
      </c>
      <c r="B742" s="33" t="str">
        <f>"Causación Gasto"</f>
        <v>Causación Gasto</v>
      </c>
      <c r="C742" s="34">
        <f ca="1">Gastos_Administrativos!B42</f>
        <v>46117</v>
      </c>
      <c r="D742" s="73" t="str">
        <f ca="1">CHOOSE(MATCH(Gastos_Administrativos!F42,{"Arrendamientos";"Servicios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511005</v>
      </c>
      <c r="E742" s="33" t="str">
        <f ca="1">CHOOSE(MATCH(Gastos_Administrativos!F42,{"Arrendamientos";"Servicios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Honorarios</v>
      </c>
      <c r="F742" s="33" t="str">
        <f ca="1">Gastos_Administrativos!D42</f>
        <v>Agencia Digital Laureles S.A.S.</v>
      </c>
      <c r="G742" s="33" t="str">
        <f ca="1">Gastos_Administrativos!E42</f>
        <v>901567890-1</v>
      </c>
      <c r="H742" s="33" t="str">
        <f ca="1">"CC-2"&amp;TEXT(MATCH(Gastos_Administrativos!G42,{"Administración";"Ventas";"Bodega";"Logística";"Gerencia"},0),"00")&amp;" "&amp;Gastos_Administrativos!G42</f>
        <v>CC-204 Logística</v>
      </c>
      <c r="I742" s="33" t="str">
        <f ca="1">"Causación gasto - "&amp;Gastos_Administrativos!C42&amp;" - "&amp;Gastos_Administrativos!A42</f>
        <v>Causación gasto - Honorarios asesoría jurídica - GA-2040</v>
      </c>
      <c r="J742" s="35">
        <f ca="1">Gastos_Administrativos!H42</f>
        <v>1573400</v>
      </c>
      <c r="K742" s="35">
        <f>0</f>
        <v>0</v>
      </c>
      <c r="L742" s="36" t="str">
        <f>Gastos_Administrativos!A42</f>
        <v>GA-2040</v>
      </c>
    </row>
    <row r="743" spans="1:12" x14ac:dyDescent="0.35">
      <c r="A743" s="32" t="str">
        <f>"CE-GA-"&amp;TEXT(5040,"0000")</f>
        <v>CE-GA-5040</v>
      </c>
      <c r="B743" s="33" t="str">
        <f>"Causación Gasto"</f>
        <v>Causación Gasto</v>
      </c>
      <c r="C743" s="34">
        <f ca="1">Gastos_Administrativos!B42</f>
        <v>46117</v>
      </c>
      <c r="D743" s="73" t="str">
        <f>"240810"</f>
        <v>240810</v>
      </c>
      <c r="E743" s="33" t="str">
        <f>"IVA descontable - servicios/compras"</f>
        <v>IVA descontable - servicios/compras</v>
      </c>
      <c r="F743" s="33" t="str">
        <f ca="1">Gastos_Administrativos!D42</f>
        <v>Agencia Digital Laureles S.A.S.</v>
      </c>
      <c r="G743" s="33" t="str">
        <f ca="1">Gastos_Administrativos!E42</f>
        <v>901567890-1</v>
      </c>
      <c r="H743" s="33" t="str">
        <f ca="1">"CC-2"&amp;TEXT(MATCH(Gastos_Administrativos!G42,{"Administración";"Ventas";"Bodega";"Logística";"Gerencia"},0),"00")&amp;" "&amp;Gastos_Administrativos!G42</f>
        <v>CC-204 Logística</v>
      </c>
      <c r="I743" s="33" t="str">
        <f>"IVA descontable factura "&amp;Gastos_Administrativos!A42</f>
        <v>IVA descontable factura GA-2040</v>
      </c>
      <c r="J743" s="35">
        <f ca="1">Gastos_Administrativos!J42</f>
        <v>298946</v>
      </c>
      <c r="K743" s="35">
        <f>0</f>
        <v>0</v>
      </c>
      <c r="L743" s="36" t="str">
        <f>Gastos_Administrativos!A42</f>
        <v>GA-2040</v>
      </c>
    </row>
    <row r="744" spans="1:12" x14ac:dyDescent="0.35">
      <c r="A744" s="32" t="str">
        <f>"CE-GA-"&amp;TEXT(5040,"0000")</f>
        <v>CE-GA-5040</v>
      </c>
      <c r="B744" s="33" t="str">
        <f>"Causación Gasto"</f>
        <v>Causación Gasto</v>
      </c>
      <c r="C744" s="34">
        <f ca="1">Gastos_Administrativos!B42</f>
        <v>46117</v>
      </c>
      <c r="D744" s="73" t="str">
        <f ca="1">IF(Gastos_Administrativos!L42=0,"236540",CHOOSE(MATCH(Gastos_Administrativos!F42,{"Arrendamientos";"Servicios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236515</v>
      </c>
      <c r="E744" s="33" t="str">
        <f ca="1">"ReteFuente "&amp;TEXT(Gastos_Administrativos!L42,"0.00%")&amp;" - "&amp;Gastos_Administrativos!F42</f>
        <v>ReteFuente 011% - Honorarios</v>
      </c>
      <c r="F744" s="33" t="str">
        <f ca="1">Gastos_Administrativos!D42</f>
        <v>Agencia Digital Laureles S.A.S.</v>
      </c>
      <c r="G744" s="33" t="str">
        <f ca="1">Gastos_Administrativos!E42</f>
        <v>901567890-1</v>
      </c>
      <c r="H744" s="33" t="str">
        <f ca="1">"CC-2"&amp;TEXT(MATCH(Gastos_Administrativos!G42,{"Administración";"Ventas";"Bodega";"Logística";"Gerencia"},0),"00")&amp;" "&amp;Gastos_Administrativos!G42</f>
        <v>CC-204 Logística</v>
      </c>
      <c r="I744" s="33" t="str">
        <f ca="1">"ReteFuente "&amp;Gastos_Administrativos!C42&amp;" - "&amp;Gastos_Administrativos!A42</f>
        <v>ReteFuente Honorarios asesoría jurídica - GA-2040</v>
      </c>
      <c r="J744" s="35">
        <f>0</f>
        <v>0</v>
      </c>
      <c r="K744" s="35">
        <f ca="1">Gastos_Administrativos!M42</f>
        <v>173074</v>
      </c>
      <c r="L744" s="36" t="str">
        <f>Gastos_Administrativos!A42</f>
        <v>GA-2040</v>
      </c>
    </row>
    <row r="745" spans="1:12" x14ac:dyDescent="0.35">
      <c r="A745" s="32" t="str">
        <f>"CE-GA-"&amp;TEXT(5040,"0000")</f>
        <v>CE-GA-5040</v>
      </c>
      <c r="B745" s="33" t="str">
        <f>"Causación Gasto"</f>
        <v>Causación Gasto</v>
      </c>
      <c r="C745" s="34">
        <f ca="1">Gastos_Administrativos!B42</f>
        <v>46117</v>
      </c>
      <c r="D745" s="73" t="str">
        <f>"236701"</f>
        <v>236701</v>
      </c>
      <c r="E745" s="33" t="str">
        <f>"Retención IVA - Régimen común 15%"</f>
        <v>Retención IVA - Régimen común 15%</v>
      </c>
      <c r="F745" s="33" t="str">
        <f ca="1">Gastos_Administrativos!D42</f>
        <v>Agencia Digital Laureles S.A.S.</v>
      </c>
      <c r="G745" s="33" t="str">
        <f ca="1">Gastos_Administrativos!E42</f>
        <v>901567890-1</v>
      </c>
      <c r="H745" s="33" t="str">
        <f ca="1">"CC-2"&amp;TEXT(MATCH(Gastos_Administrativos!G42,{"Administración";"Ventas";"Bodega";"Logística";"Gerencia"},0),"00")&amp;" "&amp;Gastos_Administrativos!G42</f>
        <v>CC-204 Logística</v>
      </c>
      <c r="I745" s="33" t="str">
        <f>"ReteIVA 15% sobre IVA factura "&amp;Gastos_Administrativos!A42</f>
        <v>ReteIVA 15% sobre IVA factura GA-2040</v>
      </c>
      <c r="J745" s="35">
        <f>0</f>
        <v>0</v>
      </c>
      <c r="K745" s="35">
        <f ca="1">Gastos_Administrativos!O42</f>
        <v>44842</v>
      </c>
      <c r="L745" s="36" t="str">
        <f>Gastos_Administrativos!A42</f>
        <v>GA-2040</v>
      </c>
    </row>
    <row r="746" spans="1:12" x14ac:dyDescent="0.35">
      <c r="A746" s="32" t="str">
        <f>"CE-GA-"&amp;TEXT(5040,"0000")</f>
        <v>CE-GA-5040</v>
      </c>
      <c r="B746" s="33" t="str">
        <f>"Causación Gasto"</f>
        <v>Causación Gasto</v>
      </c>
      <c r="C746" s="34">
        <f ca="1">Gastos_Administrativos!B42</f>
        <v>46117</v>
      </c>
      <c r="D746" s="73" t="str">
        <f>"236805"</f>
        <v>236805</v>
      </c>
      <c r="E746" s="33" t="str">
        <f>"Retención ICA - Medellín 11.04‰"</f>
        <v>Retención ICA - Medellín 11.04‰</v>
      </c>
      <c r="F746" s="33" t="str">
        <f ca="1">Gastos_Administrativos!D42</f>
        <v>Agencia Digital Laureles S.A.S.</v>
      </c>
      <c r="G746" s="33" t="str">
        <f ca="1">Gastos_Administrativos!E42</f>
        <v>901567890-1</v>
      </c>
      <c r="H746" s="33" t="str">
        <f ca="1">"CC-2"&amp;TEXT(MATCH(Gastos_Administrativos!G42,{"Administración";"Ventas";"Bodega";"Logística";"Gerencia"},0),"00")&amp;" "&amp;Gastos_Administrativos!G42</f>
        <v>CC-204 Logística</v>
      </c>
      <c r="I746" s="33" t="str">
        <f>"ReteICA Medellín sobre gasto "&amp;Gastos_Administrativos!A42</f>
        <v>ReteICA Medellín sobre gasto GA-2040</v>
      </c>
      <c r="J746" s="35">
        <f>0</f>
        <v>0</v>
      </c>
      <c r="K746" s="35">
        <f ca="1">Gastos_Administrativos!Q42</f>
        <v>17370</v>
      </c>
      <c r="L746" s="36" t="str">
        <f>Gastos_Administrativos!A42</f>
        <v>GA-2040</v>
      </c>
    </row>
    <row r="747" spans="1:12" x14ac:dyDescent="0.35">
      <c r="A747" s="32" t="str">
        <f>"CE-GA-"&amp;TEXT(5040,"0000")</f>
        <v>CE-GA-5040</v>
      </c>
      <c r="B747" s="33" t="str">
        <f>"Causación Gasto"</f>
        <v>Causación Gasto</v>
      </c>
      <c r="C747" s="34">
        <f ca="1">Gastos_Administrativos!B42</f>
        <v>46117</v>
      </c>
      <c r="D747" s="73" t="str">
        <f>"233525"</f>
        <v>233525</v>
      </c>
      <c r="E747" s="33" t="str">
        <f>"Costos y gastos por pagar"</f>
        <v>Costos y gastos por pagar</v>
      </c>
      <c r="F747" s="33" t="str">
        <f ca="1">Gastos_Administrativos!D42</f>
        <v>Agencia Digital Laureles S.A.S.</v>
      </c>
      <c r="G747" s="33" t="str">
        <f ca="1">Gastos_Administrativos!E42</f>
        <v>901567890-1</v>
      </c>
      <c r="H747" s="33" t="str">
        <f ca="1">"CC-2"&amp;TEXT(MATCH(Gastos_Administrativos!G42,{"Administración";"Ventas";"Bodega";"Logística";"Gerencia"},0),"00")&amp;" "&amp;Gastos_Administrativos!G42</f>
        <v>CC-204 Logística</v>
      </c>
      <c r="I747" s="33" t="str">
        <f ca="1">"CxP gasto - "&amp;Gastos_Administrativos!D42&amp;" - "&amp;Gastos_Administrativos!A42</f>
        <v>CxP gasto - Agencia Digital Laureles S.A.S. - GA-2040</v>
      </c>
      <c r="J747" s="35">
        <f>0</f>
        <v>0</v>
      </c>
      <c r="K747" s="35">
        <f ca="1">Gastos_Administrativos!R42</f>
        <v>1637060</v>
      </c>
      <c r="L747" s="36" t="str">
        <f>Gastos_Administrativos!A42</f>
        <v>GA-2040</v>
      </c>
    </row>
    <row r="748" spans="1:12" x14ac:dyDescent="0.35">
      <c r="A748" s="37" t="str">
        <f>"CE-GA-"&amp;TEXT(5041,"0000")</f>
        <v>CE-GA-5041</v>
      </c>
      <c r="B748" s="38" t="str">
        <f>"Causación Gasto"</f>
        <v>Causación Gasto</v>
      </c>
      <c r="C748" s="39">
        <f ca="1">Gastos_Administrativos!B43</f>
        <v>46111</v>
      </c>
      <c r="D748" s="74" t="str">
        <f ca="1">CHOOSE(MATCH(Gastos_Administrativos!F43,{"Arrendamientos";"Servicios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523510</v>
      </c>
      <c r="E748" s="38" t="str">
        <f ca="1">CHOOSE(MATCH(Gastos_Administrativos!F43,{"Arrendamientos";"Servicios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Publicidad y propaganda</v>
      </c>
      <c r="F748" s="38" t="str">
        <f ca="1">Gastos_Administrativos!D43</f>
        <v>Dotaciones Industriales Itagüí</v>
      </c>
      <c r="G748" s="38" t="str">
        <f ca="1">Gastos_Administrativos!E43</f>
        <v>900234567-6</v>
      </c>
      <c r="H748" s="38" t="str">
        <f ca="1">"CC-2"&amp;TEXT(MATCH(Gastos_Administrativos!G43,{"Administración";"Ventas";"Bodega";"Logística";"Gerencia"},0),"00")&amp;" "&amp;Gastos_Administrativos!G43</f>
        <v>CC-204 Logística</v>
      </c>
      <c r="I748" s="38" t="str">
        <f ca="1">"Causación gasto - "&amp;Gastos_Administrativos!C43&amp;" - "&amp;Gastos_Administrativos!A43</f>
        <v>Causación gasto - Publicidad redes sociales - GA-2041</v>
      </c>
      <c r="J748" s="40">
        <f ca="1">Gastos_Administrativos!H43</f>
        <v>8293100</v>
      </c>
      <c r="K748" s="40">
        <f>0</f>
        <v>0</v>
      </c>
      <c r="L748" s="41" t="str">
        <f>Gastos_Administrativos!A43</f>
        <v>GA-2041</v>
      </c>
    </row>
    <row r="749" spans="1:12" x14ac:dyDescent="0.35">
      <c r="A749" s="37" t="str">
        <f>"CE-GA-"&amp;TEXT(5041,"0000")</f>
        <v>CE-GA-5041</v>
      </c>
      <c r="B749" s="38" t="str">
        <f>"Causación Gasto"</f>
        <v>Causación Gasto</v>
      </c>
      <c r="C749" s="39">
        <f ca="1">Gastos_Administrativos!B43</f>
        <v>46111</v>
      </c>
      <c r="D749" s="74" t="str">
        <f>"240810"</f>
        <v>240810</v>
      </c>
      <c r="E749" s="38" t="str">
        <f>"IVA descontable - servicios/compras"</f>
        <v>IVA descontable - servicios/compras</v>
      </c>
      <c r="F749" s="38" t="str">
        <f ca="1">Gastos_Administrativos!D43</f>
        <v>Dotaciones Industriales Itagüí</v>
      </c>
      <c r="G749" s="38" t="str">
        <f ca="1">Gastos_Administrativos!E43</f>
        <v>900234567-6</v>
      </c>
      <c r="H749" s="38" t="str">
        <f ca="1">"CC-2"&amp;TEXT(MATCH(Gastos_Administrativos!G43,{"Administración";"Ventas";"Bodega";"Logística";"Gerencia"},0),"00")&amp;" "&amp;Gastos_Administrativos!G43</f>
        <v>CC-204 Logística</v>
      </c>
      <c r="I749" s="38" t="str">
        <f>"IVA descontable factura "&amp;Gastos_Administrativos!A43</f>
        <v>IVA descontable factura GA-2041</v>
      </c>
      <c r="J749" s="40">
        <f ca="1">Gastos_Administrativos!J43</f>
        <v>1575689</v>
      </c>
      <c r="K749" s="40">
        <f>0</f>
        <v>0</v>
      </c>
      <c r="L749" s="41" t="str">
        <f>Gastos_Administrativos!A43</f>
        <v>GA-2041</v>
      </c>
    </row>
    <row r="750" spans="1:12" x14ac:dyDescent="0.35">
      <c r="A750" s="37" t="str">
        <f>"CE-GA-"&amp;TEXT(5041,"0000")</f>
        <v>CE-GA-5041</v>
      </c>
      <c r="B750" s="38" t="str">
        <f>"Causación Gasto"</f>
        <v>Causación Gasto</v>
      </c>
      <c r="C750" s="39">
        <f ca="1">Gastos_Administrativos!B43</f>
        <v>46111</v>
      </c>
      <c r="D750" s="74" t="str">
        <f ca="1">IF(Gastos_Administrativos!L43=0,"236540",CHOOSE(MATCH(Gastos_Administrativos!F43,{"Arrendamientos";"Servicios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750" s="38" t="str">
        <f ca="1">"ReteFuente "&amp;TEXT(Gastos_Administrativos!L43,"0.00%")&amp;" - "&amp;Gastos_Administrativos!F43</f>
        <v>ReteFuente 004% - Publicidad</v>
      </c>
      <c r="F750" s="38" t="str">
        <f ca="1">Gastos_Administrativos!D43</f>
        <v>Dotaciones Industriales Itagüí</v>
      </c>
      <c r="G750" s="38" t="str">
        <f ca="1">Gastos_Administrativos!E43</f>
        <v>900234567-6</v>
      </c>
      <c r="H750" s="38" t="str">
        <f ca="1">"CC-2"&amp;TEXT(MATCH(Gastos_Administrativos!G43,{"Administración";"Ventas";"Bodega";"Logística";"Gerencia"},0),"00")&amp;" "&amp;Gastos_Administrativos!G43</f>
        <v>CC-204 Logística</v>
      </c>
      <c r="I750" s="38" t="str">
        <f ca="1">"ReteFuente "&amp;Gastos_Administrativos!C43&amp;" - "&amp;Gastos_Administrativos!A43</f>
        <v>ReteFuente Publicidad redes sociales - GA-2041</v>
      </c>
      <c r="J750" s="40">
        <f>0</f>
        <v>0</v>
      </c>
      <c r="K750" s="40">
        <f ca="1">Gastos_Administrativos!M43</f>
        <v>331724</v>
      </c>
      <c r="L750" s="41" t="str">
        <f>Gastos_Administrativos!A43</f>
        <v>GA-2041</v>
      </c>
    </row>
    <row r="751" spans="1:12" x14ac:dyDescent="0.35">
      <c r="A751" s="37" t="str">
        <f>"CE-GA-"&amp;TEXT(5041,"0000")</f>
        <v>CE-GA-5041</v>
      </c>
      <c r="B751" s="38" t="str">
        <f>"Causación Gasto"</f>
        <v>Causación Gasto</v>
      </c>
      <c r="C751" s="39">
        <f ca="1">Gastos_Administrativos!B43</f>
        <v>46111</v>
      </c>
      <c r="D751" s="74" t="str">
        <f>"236701"</f>
        <v>236701</v>
      </c>
      <c r="E751" s="38" t="str">
        <f>"Retención IVA - Régimen común 15%"</f>
        <v>Retención IVA - Régimen común 15%</v>
      </c>
      <c r="F751" s="38" t="str">
        <f ca="1">Gastos_Administrativos!D43</f>
        <v>Dotaciones Industriales Itagüí</v>
      </c>
      <c r="G751" s="38" t="str">
        <f ca="1">Gastos_Administrativos!E43</f>
        <v>900234567-6</v>
      </c>
      <c r="H751" s="38" t="str">
        <f ca="1">"CC-2"&amp;TEXT(MATCH(Gastos_Administrativos!G43,{"Administración";"Ventas";"Bodega";"Logística";"Gerencia"},0),"00")&amp;" "&amp;Gastos_Administrativos!G43</f>
        <v>CC-204 Logística</v>
      </c>
      <c r="I751" s="38" t="str">
        <f>"ReteIVA 15% sobre IVA factura "&amp;Gastos_Administrativos!A43</f>
        <v>ReteIVA 15% sobre IVA factura GA-2041</v>
      </c>
      <c r="J751" s="40">
        <f>0</f>
        <v>0</v>
      </c>
      <c r="K751" s="40">
        <f ca="1">Gastos_Administrativos!O43</f>
        <v>236353</v>
      </c>
      <c r="L751" s="41" t="str">
        <f>Gastos_Administrativos!A43</f>
        <v>GA-2041</v>
      </c>
    </row>
    <row r="752" spans="1:12" x14ac:dyDescent="0.35">
      <c r="A752" s="37" t="str">
        <f>"CE-GA-"&amp;TEXT(5041,"0000")</f>
        <v>CE-GA-5041</v>
      </c>
      <c r="B752" s="38" t="str">
        <f>"Causación Gasto"</f>
        <v>Causación Gasto</v>
      </c>
      <c r="C752" s="39">
        <f ca="1">Gastos_Administrativos!B43</f>
        <v>46111</v>
      </c>
      <c r="D752" s="74" t="str">
        <f>"236805"</f>
        <v>236805</v>
      </c>
      <c r="E752" s="38" t="str">
        <f>"Retención ICA - Medellín 11.04‰"</f>
        <v>Retención ICA - Medellín 11.04‰</v>
      </c>
      <c r="F752" s="38" t="str">
        <f ca="1">Gastos_Administrativos!D43</f>
        <v>Dotaciones Industriales Itagüí</v>
      </c>
      <c r="G752" s="38" t="str">
        <f ca="1">Gastos_Administrativos!E43</f>
        <v>900234567-6</v>
      </c>
      <c r="H752" s="38" t="str">
        <f ca="1">"CC-2"&amp;TEXT(MATCH(Gastos_Administrativos!G43,{"Administración";"Ventas";"Bodega";"Logística";"Gerencia"},0),"00")&amp;" "&amp;Gastos_Administrativos!G43</f>
        <v>CC-204 Logística</v>
      </c>
      <c r="I752" s="38" t="str">
        <f>"ReteICA Medellín sobre gasto "&amp;Gastos_Administrativos!A43</f>
        <v>ReteICA Medellín sobre gasto GA-2041</v>
      </c>
      <c r="J752" s="40">
        <f>0</f>
        <v>0</v>
      </c>
      <c r="K752" s="40">
        <f ca="1">Gastos_Administrativos!Q43</f>
        <v>91556</v>
      </c>
      <c r="L752" s="41" t="str">
        <f>Gastos_Administrativos!A43</f>
        <v>GA-2041</v>
      </c>
    </row>
    <row r="753" spans="1:12" x14ac:dyDescent="0.35">
      <c r="A753" s="37" t="str">
        <f>"CE-GA-"&amp;TEXT(5041,"0000")</f>
        <v>CE-GA-5041</v>
      </c>
      <c r="B753" s="38" t="str">
        <f>"Causación Gasto"</f>
        <v>Causación Gasto</v>
      </c>
      <c r="C753" s="39">
        <f ca="1">Gastos_Administrativos!B43</f>
        <v>46111</v>
      </c>
      <c r="D753" s="74" t="str">
        <f>"233525"</f>
        <v>233525</v>
      </c>
      <c r="E753" s="38" t="str">
        <f>"Costos y gastos por pagar"</f>
        <v>Costos y gastos por pagar</v>
      </c>
      <c r="F753" s="38" t="str">
        <f ca="1">Gastos_Administrativos!D43</f>
        <v>Dotaciones Industriales Itagüí</v>
      </c>
      <c r="G753" s="38" t="str">
        <f ca="1">Gastos_Administrativos!E43</f>
        <v>900234567-6</v>
      </c>
      <c r="H753" s="38" t="str">
        <f ca="1">"CC-2"&amp;TEXT(MATCH(Gastos_Administrativos!G43,{"Administración";"Ventas";"Bodega";"Logística";"Gerencia"},0),"00")&amp;" "&amp;Gastos_Administrativos!G43</f>
        <v>CC-204 Logística</v>
      </c>
      <c r="I753" s="38" t="str">
        <f ca="1">"CxP gasto - "&amp;Gastos_Administrativos!D43&amp;" - "&amp;Gastos_Administrativos!A43</f>
        <v>CxP gasto - Dotaciones Industriales Itagüí - GA-2041</v>
      </c>
      <c r="J753" s="40">
        <f>0</f>
        <v>0</v>
      </c>
      <c r="K753" s="40">
        <f ca="1">Gastos_Administrativos!R43</f>
        <v>9209156</v>
      </c>
      <c r="L753" s="41" t="str">
        <f>Gastos_Administrativos!A43</f>
        <v>GA-2041</v>
      </c>
    </row>
    <row r="754" spans="1:12" x14ac:dyDescent="0.35">
      <c r="A754" s="32" t="str">
        <f>"CE-GA-"&amp;TEXT(5042,"0000")</f>
        <v>CE-GA-5042</v>
      </c>
      <c r="B754" s="33" t="str">
        <f>"Causación Gasto"</f>
        <v>Causación Gasto</v>
      </c>
      <c r="C754" s="34">
        <f ca="1">Gastos_Administrativos!B44</f>
        <v>46117</v>
      </c>
      <c r="D754" s="73" t="str">
        <f ca="1">CHOOSE(MATCH(Gastos_Administrativos!F44,{"Arrendamientos";"Servicios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514515</v>
      </c>
      <c r="E754" s="33" t="str">
        <f ca="1">CHOOSE(MATCH(Gastos_Administrativos!F44,{"Arrendamientos";"Servicios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Sistematización</v>
      </c>
      <c r="F754" s="33" t="str">
        <f ca="1">Gastos_Administrativos!D44</f>
        <v>Taller Mecánico El Paisa Ltda.</v>
      </c>
      <c r="G754" s="33" t="str">
        <f ca="1">Gastos_Administrativos!E44</f>
        <v>890456789-5</v>
      </c>
      <c r="H754" s="33" t="str">
        <f ca="1">"CC-2"&amp;TEXT(MATCH(Gastos_Administrativos!G44,{"Administración";"Ventas";"Bodega";"Logística";"Gerencia"},0),"00")&amp;" "&amp;Gastos_Administrativos!G44</f>
        <v>CC-205 Gerencia</v>
      </c>
      <c r="I754" s="33" t="str">
        <f ca="1">"Causación gasto - "&amp;Gastos_Administrativos!C44&amp;" - "&amp;Gastos_Administrativos!A44</f>
        <v>Causación gasto - Plataforma facturación electrónica - GA-2042</v>
      </c>
      <c r="J754" s="35">
        <f ca="1">Gastos_Administrativos!H44</f>
        <v>5484600</v>
      </c>
      <c r="K754" s="35">
        <f>0</f>
        <v>0</v>
      </c>
      <c r="L754" s="36" t="str">
        <f>Gastos_Administrativos!A44</f>
        <v>GA-2042</v>
      </c>
    </row>
    <row r="755" spans="1:12" x14ac:dyDescent="0.35">
      <c r="A755" s="32" t="str">
        <f>"CE-GA-"&amp;TEXT(5042,"0000")</f>
        <v>CE-GA-5042</v>
      </c>
      <c r="B755" s="33" t="str">
        <f>"Causación Gasto"</f>
        <v>Causación Gasto</v>
      </c>
      <c r="C755" s="34">
        <f ca="1">Gastos_Administrativos!B44</f>
        <v>46117</v>
      </c>
      <c r="D755" s="73" t="str">
        <f>"240810"</f>
        <v>240810</v>
      </c>
      <c r="E755" s="33" t="str">
        <f>"IVA descontable - servicios/compras"</f>
        <v>IVA descontable - servicios/compras</v>
      </c>
      <c r="F755" s="33" t="str">
        <f ca="1">Gastos_Administrativos!D44</f>
        <v>Taller Mecánico El Paisa Ltda.</v>
      </c>
      <c r="G755" s="33" t="str">
        <f ca="1">Gastos_Administrativos!E44</f>
        <v>890456789-5</v>
      </c>
      <c r="H755" s="33" t="str">
        <f ca="1">"CC-2"&amp;TEXT(MATCH(Gastos_Administrativos!G44,{"Administración";"Ventas";"Bodega";"Logística";"Gerencia"},0),"00")&amp;" "&amp;Gastos_Administrativos!G44</f>
        <v>CC-205 Gerencia</v>
      </c>
      <c r="I755" s="33" t="str">
        <f>"IVA descontable factura "&amp;Gastos_Administrativos!A44</f>
        <v>IVA descontable factura GA-2042</v>
      </c>
      <c r="J755" s="35">
        <f ca="1">Gastos_Administrativos!J44</f>
        <v>1042074</v>
      </c>
      <c r="K755" s="35">
        <f>0</f>
        <v>0</v>
      </c>
      <c r="L755" s="36" t="str">
        <f>Gastos_Administrativos!A44</f>
        <v>GA-2042</v>
      </c>
    </row>
    <row r="756" spans="1:12" x14ac:dyDescent="0.35">
      <c r="A756" s="32" t="str">
        <f>"CE-GA-"&amp;TEXT(5042,"0000")</f>
        <v>CE-GA-5042</v>
      </c>
      <c r="B756" s="33" t="str">
        <f>"Causación Gasto"</f>
        <v>Causación Gasto</v>
      </c>
      <c r="C756" s="34">
        <f ca="1">Gastos_Administrativos!B44</f>
        <v>46117</v>
      </c>
      <c r="D756" s="73" t="str">
        <f ca="1">IF(Gastos_Administrativos!L44=0,"236540",CHOOSE(MATCH(Gastos_Administrativos!F44,{"Arrendamientos";"Servicios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236525</v>
      </c>
      <c r="E756" s="33" t="str">
        <f ca="1">"ReteFuente "&amp;TEXT(Gastos_Administrativos!L44,"0.00%")&amp;" - "&amp;Gastos_Administrativos!F44</f>
        <v>ReteFuente 004% - Tecnología</v>
      </c>
      <c r="F756" s="33" t="str">
        <f ca="1">Gastos_Administrativos!D44</f>
        <v>Taller Mecánico El Paisa Ltda.</v>
      </c>
      <c r="G756" s="33" t="str">
        <f ca="1">Gastos_Administrativos!E44</f>
        <v>890456789-5</v>
      </c>
      <c r="H756" s="33" t="str">
        <f ca="1">"CC-2"&amp;TEXT(MATCH(Gastos_Administrativos!G44,{"Administración";"Ventas";"Bodega";"Logística";"Gerencia"},0),"00")&amp;" "&amp;Gastos_Administrativos!G44</f>
        <v>CC-205 Gerencia</v>
      </c>
      <c r="I756" s="33" t="str">
        <f ca="1">"ReteFuente "&amp;Gastos_Administrativos!C44&amp;" - "&amp;Gastos_Administrativos!A44</f>
        <v>ReteFuente Plataforma facturación electrónica - GA-2042</v>
      </c>
      <c r="J756" s="35">
        <f>0</f>
        <v>0</v>
      </c>
      <c r="K756" s="35">
        <f ca="1">Gastos_Administrativos!M44</f>
        <v>191961</v>
      </c>
      <c r="L756" s="36" t="str">
        <f>Gastos_Administrativos!A44</f>
        <v>GA-2042</v>
      </c>
    </row>
    <row r="757" spans="1:12" x14ac:dyDescent="0.35">
      <c r="A757" s="32" t="str">
        <f>"CE-GA-"&amp;TEXT(5042,"0000")</f>
        <v>CE-GA-5042</v>
      </c>
      <c r="B757" s="33" t="str">
        <f>"Causación Gasto"</f>
        <v>Causación Gasto</v>
      </c>
      <c r="C757" s="34">
        <f ca="1">Gastos_Administrativos!B44</f>
        <v>46117</v>
      </c>
      <c r="D757" s="73" t="str">
        <f>"236701"</f>
        <v>236701</v>
      </c>
      <c r="E757" s="33" t="str">
        <f>"Retención IVA - Régimen común 15%"</f>
        <v>Retención IVA - Régimen común 15%</v>
      </c>
      <c r="F757" s="33" t="str">
        <f ca="1">Gastos_Administrativos!D44</f>
        <v>Taller Mecánico El Paisa Ltda.</v>
      </c>
      <c r="G757" s="33" t="str">
        <f ca="1">Gastos_Administrativos!E44</f>
        <v>890456789-5</v>
      </c>
      <c r="H757" s="33" t="str">
        <f ca="1">"CC-2"&amp;TEXT(MATCH(Gastos_Administrativos!G44,{"Administración";"Ventas";"Bodega";"Logística";"Gerencia"},0),"00")&amp;" "&amp;Gastos_Administrativos!G44</f>
        <v>CC-205 Gerencia</v>
      </c>
      <c r="I757" s="33" t="str">
        <f>"ReteIVA 15% sobre IVA factura "&amp;Gastos_Administrativos!A44</f>
        <v>ReteIVA 15% sobre IVA factura GA-2042</v>
      </c>
      <c r="J757" s="35">
        <f>0</f>
        <v>0</v>
      </c>
      <c r="K757" s="35">
        <f ca="1">Gastos_Administrativos!O44</f>
        <v>156311</v>
      </c>
      <c r="L757" s="36" t="str">
        <f>Gastos_Administrativos!A44</f>
        <v>GA-2042</v>
      </c>
    </row>
    <row r="758" spans="1:12" x14ac:dyDescent="0.35">
      <c r="A758" s="32" t="str">
        <f>"CE-GA-"&amp;TEXT(5042,"0000")</f>
        <v>CE-GA-5042</v>
      </c>
      <c r="B758" s="33" t="str">
        <f>"Causación Gasto"</f>
        <v>Causación Gasto</v>
      </c>
      <c r="C758" s="34">
        <f ca="1">Gastos_Administrativos!B44</f>
        <v>46117</v>
      </c>
      <c r="D758" s="73" t="str">
        <f>"236805"</f>
        <v>236805</v>
      </c>
      <c r="E758" s="33" t="str">
        <f>"Retención ICA - Medellín 11.04‰"</f>
        <v>Retención ICA - Medellín 11.04‰</v>
      </c>
      <c r="F758" s="33" t="str">
        <f ca="1">Gastos_Administrativos!D44</f>
        <v>Taller Mecánico El Paisa Ltda.</v>
      </c>
      <c r="G758" s="33" t="str">
        <f ca="1">Gastos_Administrativos!E44</f>
        <v>890456789-5</v>
      </c>
      <c r="H758" s="33" t="str">
        <f ca="1">"CC-2"&amp;TEXT(MATCH(Gastos_Administrativos!G44,{"Administración";"Ventas";"Bodega";"Logística";"Gerencia"},0),"00")&amp;" "&amp;Gastos_Administrativos!G44</f>
        <v>CC-205 Gerencia</v>
      </c>
      <c r="I758" s="33" t="str">
        <f>"ReteICA Medellín sobre gasto "&amp;Gastos_Administrativos!A44</f>
        <v>ReteICA Medellín sobre gasto GA-2042</v>
      </c>
      <c r="J758" s="35">
        <f>0</f>
        <v>0</v>
      </c>
      <c r="K758" s="35">
        <f ca="1">Gastos_Administrativos!Q44</f>
        <v>60550</v>
      </c>
      <c r="L758" s="36" t="str">
        <f>Gastos_Administrativos!A44</f>
        <v>GA-2042</v>
      </c>
    </row>
    <row r="759" spans="1:12" x14ac:dyDescent="0.35">
      <c r="A759" s="32" t="str">
        <f>"CE-GA-"&amp;TEXT(5042,"0000")</f>
        <v>CE-GA-5042</v>
      </c>
      <c r="B759" s="33" t="str">
        <f>"Causación Gasto"</f>
        <v>Causación Gasto</v>
      </c>
      <c r="C759" s="34">
        <f ca="1">Gastos_Administrativos!B44</f>
        <v>46117</v>
      </c>
      <c r="D759" s="73" t="str">
        <f>"233525"</f>
        <v>233525</v>
      </c>
      <c r="E759" s="33" t="str">
        <f>"Costos y gastos por pagar"</f>
        <v>Costos y gastos por pagar</v>
      </c>
      <c r="F759" s="33" t="str">
        <f ca="1">Gastos_Administrativos!D44</f>
        <v>Taller Mecánico El Paisa Ltda.</v>
      </c>
      <c r="G759" s="33" t="str">
        <f ca="1">Gastos_Administrativos!E44</f>
        <v>890456789-5</v>
      </c>
      <c r="H759" s="33" t="str">
        <f ca="1">"CC-2"&amp;TEXT(MATCH(Gastos_Administrativos!G44,{"Administración";"Ventas";"Bodega";"Logística";"Gerencia"},0),"00")&amp;" "&amp;Gastos_Administrativos!G44</f>
        <v>CC-205 Gerencia</v>
      </c>
      <c r="I759" s="33" t="str">
        <f ca="1">"CxP gasto - "&amp;Gastos_Administrativos!D44&amp;" - "&amp;Gastos_Administrativos!A44</f>
        <v>CxP gasto - Taller Mecánico El Paisa Ltda. - GA-2042</v>
      </c>
      <c r="J759" s="35">
        <f>0</f>
        <v>0</v>
      </c>
      <c r="K759" s="35">
        <f ca="1">Gastos_Administrativos!R44</f>
        <v>6117852</v>
      </c>
      <c r="L759" s="36" t="str">
        <f>Gastos_Administrativos!A44</f>
        <v>GA-2042</v>
      </c>
    </row>
    <row r="760" spans="1:12" x14ac:dyDescent="0.35">
      <c r="A760" s="37" t="str">
        <f>"CE-GA-"&amp;TEXT(5043,"0000")</f>
        <v>CE-GA-5043</v>
      </c>
      <c r="B760" s="38" t="str">
        <f>"Causación Gasto"</f>
        <v>Causación Gasto</v>
      </c>
      <c r="C760" s="39">
        <f ca="1">Gastos_Administrativos!B45</f>
        <v>46025</v>
      </c>
      <c r="D760" s="74" t="str">
        <f ca="1">CHOOSE(MATCH(Gastos_Administrativos!F45,{"Arrendamientos";"Servicios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513525</v>
      </c>
      <c r="E760" s="38" t="str">
        <f ca="1">CHOOSE(MATCH(Gastos_Administrativos!F45,{"Arrendamientos";"Servicios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Servicios públicos</v>
      </c>
      <c r="F760" s="38" t="str">
        <f ca="1">Gastos_Administrativos!D45</f>
        <v>Aseo Total Medellín S.A.S.</v>
      </c>
      <c r="G760" s="38" t="str">
        <f ca="1">Gastos_Administrativos!E45</f>
        <v>900567890-4</v>
      </c>
      <c r="H760" s="38" t="str">
        <f ca="1">"CC-2"&amp;TEXT(MATCH(Gastos_Administrativos!G45,{"Administración";"Ventas";"Bodega";"Logística";"Gerencia"},0),"00")&amp;" "&amp;Gastos_Administrativos!G45</f>
        <v>CC-201 Administración</v>
      </c>
      <c r="I760" s="38" t="str">
        <f ca="1">"Causación gasto - "&amp;Gastos_Administrativos!C45&amp;" - "&amp;Gastos_Administrativos!A45</f>
        <v>Causación gasto - Servicio de energía eléctrica - GA-2043</v>
      </c>
      <c r="J760" s="40">
        <f ca="1">Gastos_Administrativos!H45</f>
        <v>5482000</v>
      </c>
      <c r="K760" s="40">
        <f>0</f>
        <v>0</v>
      </c>
      <c r="L760" s="41" t="str">
        <f>Gastos_Administrativos!A45</f>
        <v>GA-2043</v>
      </c>
    </row>
    <row r="761" spans="1:12" x14ac:dyDescent="0.35">
      <c r="A761" s="37" t="str">
        <f>"CE-GA-"&amp;TEXT(5043,"0000")</f>
        <v>CE-GA-5043</v>
      </c>
      <c r="B761" s="38" t="str">
        <f>"Causación Gasto"</f>
        <v>Causación Gasto</v>
      </c>
      <c r="C761" s="39">
        <f ca="1">Gastos_Administrativos!B45</f>
        <v>46025</v>
      </c>
      <c r="D761" s="74" t="str">
        <f>"240810"</f>
        <v>240810</v>
      </c>
      <c r="E761" s="38" t="str">
        <f>"IVA descontable - servicios/compras"</f>
        <v>IVA descontable - servicios/compras</v>
      </c>
      <c r="F761" s="38" t="str">
        <f ca="1">Gastos_Administrativos!D45</f>
        <v>Aseo Total Medellín S.A.S.</v>
      </c>
      <c r="G761" s="38" t="str">
        <f ca="1">Gastos_Administrativos!E45</f>
        <v>900567890-4</v>
      </c>
      <c r="H761" s="38" t="str">
        <f ca="1">"CC-2"&amp;TEXT(MATCH(Gastos_Administrativos!G45,{"Administración";"Ventas";"Bodega";"Logística";"Gerencia"},0),"00")&amp;" "&amp;Gastos_Administrativos!G45</f>
        <v>CC-201 Administración</v>
      </c>
      <c r="I761" s="38" t="str">
        <f>"IVA descontable factura "&amp;Gastos_Administrativos!A45</f>
        <v>IVA descontable factura GA-2043</v>
      </c>
      <c r="J761" s="40">
        <f ca="1">Gastos_Administrativos!J45</f>
        <v>0</v>
      </c>
      <c r="K761" s="40">
        <f>0</f>
        <v>0</v>
      </c>
      <c r="L761" s="41" t="str">
        <f>Gastos_Administrativos!A45</f>
        <v>GA-2043</v>
      </c>
    </row>
    <row r="762" spans="1:12" x14ac:dyDescent="0.35">
      <c r="A762" s="37" t="str">
        <f>"CE-GA-"&amp;TEXT(5043,"0000")</f>
        <v>CE-GA-5043</v>
      </c>
      <c r="B762" s="38" t="str">
        <f>"Causación Gasto"</f>
        <v>Causación Gasto</v>
      </c>
      <c r="C762" s="39">
        <f ca="1">Gastos_Administrativos!B45</f>
        <v>46025</v>
      </c>
      <c r="D762" s="74" t="str">
        <f ca="1">IF(Gastos_Administrativos!L45=0,"236540",CHOOSE(MATCH(Gastos_Administrativos!F45,{"Arrendamientos";"Servicios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762" s="38" t="str">
        <f ca="1">"ReteFuente "&amp;TEXT(Gastos_Administrativos!L45,"0.00%")&amp;" - "&amp;Gastos_Administrativos!F45</f>
        <v>ReteFuente 000% - Servicios Públicos</v>
      </c>
      <c r="F762" s="38" t="str">
        <f ca="1">Gastos_Administrativos!D45</f>
        <v>Aseo Total Medellín S.A.S.</v>
      </c>
      <c r="G762" s="38" t="str">
        <f ca="1">Gastos_Administrativos!E45</f>
        <v>900567890-4</v>
      </c>
      <c r="H762" s="38" t="str">
        <f ca="1">"CC-2"&amp;TEXT(MATCH(Gastos_Administrativos!G45,{"Administración";"Ventas";"Bodega";"Logística";"Gerencia"},0),"00")&amp;" "&amp;Gastos_Administrativos!G45</f>
        <v>CC-201 Administración</v>
      </c>
      <c r="I762" s="38" t="str">
        <f ca="1">"ReteFuente "&amp;Gastos_Administrativos!C45&amp;" - "&amp;Gastos_Administrativos!A45</f>
        <v>ReteFuente Servicio de energía eléctrica - GA-2043</v>
      </c>
      <c r="J762" s="40">
        <f>0</f>
        <v>0</v>
      </c>
      <c r="K762" s="40">
        <f ca="1">Gastos_Administrativos!M45</f>
        <v>0</v>
      </c>
      <c r="L762" s="41" t="str">
        <f>Gastos_Administrativos!A45</f>
        <v>GA-2043</v>
      </c>
    </row>
    <row r="763" spans="1:12" x14ac:dyDescent="0.35">
      <c r="A763" s="37" t="str">
        <f>"CE-GA-"&amp;TEXT(5043,"0000")</f>
        <v>CE-GA-5043</v>
      </c>
      <c r="B763" s="38" t="str">
        <f>"Causación Gasto"</f>
        <v>Causación Gasto</v>
      </c>
      <c r="C763" s="39">
        <f ca="1">Gastos_Administrativos!B45</f>
        <v>46025</v>
      </c>
      <c r="D763" s="74" t="str">
        <f>"236701"</f>
        <v>236701</v>
      </c>
      <c r="E763" s="38" t="str">
        <f>"Retención IVA - Régimen común 15%"</f>
        <v>Retención IVA - Régimen común 15%</v>
      </c>
      <c r="F763" s="38" t="str">
        <f ca="1">Gastos_Administrativos!D45</f>
        <v>Aseo Total Medellín S.A.S.</v>
      </c>
      <c r="G763" s="38" t="str">
        <f ca="1">Gastos_Administrativos!E45</f>
        <v>900567890-4</v>
      </c>
      <c r="H763" s="38" t="str">
        <f ca="1">"CC-2"&amp;TEXT(MATCH(Gastos_Administrativos!G45,{"Administración";"Ventas";"Bodega";"Logística";"Gerencia"},0),"00")&amp;" "&amp;Gastos_Administrativos!G45</f>
        <v>CC-201 Administración</v>
      </c>
      <c r="I763" s="38" t="str">
        <f>"ReteIVA 15% sobre IVA factura "&amp;Gastos_Administrativos!A45</f>
        <v>ReteIVA 15% sobre IVA factura GA-2043</v>
      </c>
      <c r="J763" s="40">
        <f>0</f>
        <v>0</v>
      </c>
      <c r="K763" s="40">
        <f ca="1">Gastos_Administrativos!O45</f>
        <v>0</v>
      </c>
      <c r="L763" s="41" t="str">
        <f>Gastos_Administrativos!A45</f>
        <v>GA-2043</v>
      </c>
    </row>
    <row r="764" spans="1:12" x14ac:dyDescent="0.35">
      <c r="A764" s="37" t="str">
        <f>"CE-GA-"&amp;TEXT(5043,"0000")</f>
        <v>CE-GA-5043</v>
      </c>
      <c r="B764" s="38" t="str">
        <f>"Causación Gasto"</f>
        <v>Causación Gasto</v>
      </c>
      <c r="C764" s="39">
        <f ca="1">Gastos_Administrativos!B45</f>
        <v>46025</v>
      </c>
      <c r="D764" s="74" t="str">
        <f>"236805"</f>
        <v>236805</v>
      </c>
      <c r="E764" s="38" t="str">
        <f>"Retención ICA - Medellín 11.04‰"</f>
        <v>Retención ICA - Medellín 11.04‰</v>
      </c>
      <c r="F764" s="38" t="str">
        <f ca="1">Gastos_Administrativos!D45</f>
        <v>Aseo Total Medellín S.A.S.</v>
      </c>
      <c r="G764" s="38" t="str">
        <f ca="1">Gastos_Administrativos!E45</f>
        <v>900567890-4</v>
      </c>
      <c r="H764" s="38" t="str">
        <f ca="1">"CC-2"&amp;TEXT(MATCH(Gastos_Administrativos!G45,{"Administración";"Ventas";"Bodega";"Logística";"Gerencia"},0),"00")&amp;" "&amp;Gastos_Administrativos!G45</f>
        <v>CC-201 Administración</v>
      </c>
      <c r="I764" s="38" t="str">
        <f>"ReteICA Medellín sobre gasto "&amp;Gastos_Administrativos!A45</f>
        <v>ReteICA Medellín sobre gasto GA-2043</v>
      </c>
      <c r="J764" s="40">
        <f>0</f>
        <v>0</v>
      </c>
      <c r="K764" s="40">
        <f ca="1">Gastos_Administrativos!Q45</f>
        <v>60521</v>
      </c>
      <c r="L764" s="41" t="str">
        <f>Gastos_Administrativos!A45</f>
        <v>GA-2043</v>
      </c>
    </row>
    <row r="765" spans="1:12" x14ac:dyDescent="0.35">
      <c r="A765" s="37" t="str">
        <f>"CE-GA-"&amp;TEXT(5043,"0000")</f>
        <v>CE-GA-5043</v>
      </c>
      <c r="B765" s="38" t="str">
        <f>"Causación Gasto"</f>
        <v>Causación Gasto</v>
      </c>
      <c r="C765" s="39">
        <f ca="1">Gastos_Administrativos!B45</f>
        <v>46025</v>
      </c>
      <c r="D765" s="74" t="str">
        <f>"233525"</f>
        <v>233525</v>
      </c>
      <c r="E765" s="38" t="str">
        <f>"Costos y gastos por pagar"</f>
        <v>Costos y gastos por pagar</v>
      </c>
      <c r="F765" s="38" t="str">
        <f ca="1">Gastos_Administrativos!D45</f>
        <v>Aseo Total Medellín S.A.S.</v>
      </c>
      <c r="G765" s="38" t="str">
        <f ca="1">Gastos_Administrativos!E45</f>
        <v>900567890-4</v>
      </c>
      <c r="H765" s="38" t="str">
        <f ca="1">"CC-2"&amp;TEXT(MATCH(Gastos_Administrativos!G45,{"Administración";"Ventas";"Bodega";"Logística";"Gerencia"},0),"00")&amp;" "&amp;Gastos_Administrativos!G45</f>
        <v>CC-201 Administración</v>
      </c>
      <c r="I765" s="38" t="str">
        <f ca="1">"CxP gasto - "&amp;Gastos_Administrativos!D45&amp;" - "&amp;Gastos_Administrativos!A45</f>
        <v>CxP gasto - Aseo Total Medellín S.A.S. - GA-2043</v>
      </c>
      <c r="J765" s="40">
        <f>0</f>
        <v>0</v>
      </c>
      <c r="K765" s="40">
        <f ca="1">Gastos_Administrativos!R45</f>
        <v>5421479</v>
      </c>
      <c r="L765" s="41" t="str">
        <f>Gastos_Administrativos!A45</f>
        <v>GA-2043</v>
      </c>
    </row>
    <row r="766" spans="1:12" x14ac:dyDescent="0.35">
      <c r="A766" s="32" t="str">
        <f>"CE-GA-"&amp;TEXT(5044,"0000")</f>
        <v>CE-GA-5044</v>
      </c>
      <c r="B766" s="33" t="str">
        <f>"Causación Gasto"</f>
        <v>Causación Gasto</v>
      </c>
      <c r="C766" s="34">
        <f ca="1">Gastos_Administrativos!B46</f>
        <v>46080</v>
      </c>
      <c r="D766" s="73" t="str">
        <f ca="1">CHOOSE(MATCH(Gastos_Administrativos!F46,{"Arrendamientos";"Servicios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519525</v>
      </c>
      <c r="E766" s="33" t="str">
        <f ca="1">CHOOSE(MATCH(Gastos_Administrativos!F46,{"Arrendamientos";"Servicios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Útiles, papelería y fotocopias</v>
      </c>
      <c r="F766" s="33" t="str">
        <f ca="1">Gastos_Administrativos!D46</f>
        <v>Bancolombia S.A.</v>
      </c>
      <c r="G766" s="33" t="str">
        <f ca="1">Gastos_Administrativos!E46</f>
        <v>890903938-8</v>
      </c>
      <c r="H766" s="33" t="str">
        <f ca="1">"CC-2"&amp;TEXT(MATCH(Gastos_Administrativos!G46,{"Administración";"Ventas";"Bodega";"Logística";"Gerencia"},0),"00")&amp;" "&amp;Gastos_Administrativos!G46</f>
        <v>CC-203 Bodega</v>
      </c>
      <c r="I766" s="33" t="str">
        <f ca="1">"Causación gasto - "&amp;Gastos_Administrativos!C46&amp;" - "&amp;Gastos_Administrativos!A46</f>
        <v>Causación gasto - Café, agua y refrigerios oficina - GA-2044</v>
      </c>
      <c r="J766" s="35">
        <f ca="1">Gastos_Administrativos!H46</f>
        <v>6928100</v>
      </c>
      <c r="K766" s="35">
        <f>0</f>
        <v>0</v>
      </c>
      <c r="L766" s="36" t="str">
        <f>Gastos_Administrativos!A46</f>
        <v>GA-2044</v>
      </c>
    </row>
    <row r="767" spans="1:12" x14ac:dyDescent="0.35">
      <c r="A767" s="32" t="str">
        <f>"CE-GA-"&amp;TEXT(5044,"0000")</f>
        <v>CE-GA-5044</v>
      </c>
      <c r="B767" s="33" t="str">
        <f>"Causación Gasto"</f>
        <v>Causación Gasto</v>
      </c>
      <c r="C767" s="34">
        <f ca="1">Gastos_Administrativos!B46</f>
        <v>46080</v>
      </c>
      <c r="D767" s="73" t="str">
        <f>"240810"</f>
        <v>240810</v>
      </c>
      <c r="E767" s="33" t="str">
        <f>"IVA descontable - servicios/compras"</f>
        <v>IVA descontable - servicios/compras</v>
      </c>
      <c r="F767" s="33" t="str">
        <f ca="1">Gastos_Administrativos!D46</f>
        <v>Bancolombia S.A.</v>
      </c>
      <c r="G767" s="33" t="str">
        <f ca="1">Gastos_Administrativos!E46</f>
        <v>890903938-8</v>
      </c>
      <c r="H767" s="33" t="str">
        <f ca="1">"CC-2"&amp;TEXT(MATCH(Gastos_Administrativos!G46,{"Administración";"Ventas";"Bodega";"Logística";"Gerencia"},0),"00")&amp;" "&amp;Gastos_Administrativos!G46</f>
        <v>CC-203 Bodega</v>
      </c>
      <c r="I767" s="33" t="str">
        <f>"IVA descontable factura "&amp;Gastos_Administrativos!A46</f>
        <v>IVA descontable factura GA-2044</v>
      </c>
      <c r="J767" s="35">
        <f ca="1">Gastos_Administrativos!J46</f>
        <v>1316339</v>
      </c>
      <c r="K767" s="35">
        <f>0</f>
        <v>0</v>
      </c>
      <c r="L767" s="36" t="str">
        <f>Gastos_Administrativos!A46</f>
        <v>GA-2044</v>
      </c>
    </row>
    <row r="768" spans="1:12" x14ac:dyDescent="0.35">
      <c r="A768" s="32" t="str">
        <f>"CE-GA-"&amp;TEXT(5044,"0000")</f>
        <v>CE-GA-5044</v>
      </c>
      <c r="B768" s="33" t="str">
        <f>"Causación Gasto"</f>
        <v>Causación Gasto</v>
      </c>
      <c r="C768" s="34">
        <f ca="1">Gastos_Administrativos!B46</f>
        <v>46080</v>
      </c>
      <c r="D768" s="73" t="str">
        <f ca="1">IF(Gastos_Administrativos!L46=0,"236540",CHOOSE(MATCH(Gastos_Administrativos!F46,{"Arrendamientos";"Servicios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236540</v>
      </c>
      <c r="E768" s="33" t="str">
        <f ca="1">"ReteFuente "&amp;TEXT(Gastos_Administrativos!L46,"0.00%")&amp;" - "&amp;Gastos_Administrativos!F46</f>
        <v>ReteFuente 003% - Suministros</v>
      </c>
      <c r="F768" s="33" t="str">
        <f ca="1">Gastos_Administrativos!D46</f>
        <v>Bancolombia S.A.</v>
      </c>
      <c r="G768" s="33" t="str">
        <f ca="1">Gastos_Administrativos!E46</f>
        <v>890903938-8</v>
      </c>
      <c r="H768" s="33" t="str">
        <f ca="1">"CC-2"&amp;TEXT(MATCH(Gastos_Administrativos!G46,{"Administración";"Ventas";"Bodega";"Logística";"Gerencia"},0),"00")&amp;" "&amp;Gastos_Administrativos!G46</f>
        <v>CC-203 Bodega</v>
      </c>
      <c r="I768" s="33" t="str">
        <f ca="1">"ReteFuente "&amp;Gastos_Administrativos!C46&amp;" - "&amp;Gastos_Administrativos!A46</f>
        <v>ReteFuente Café, agua y refrigerios oficina - GA-2044</v>
      </c>
      <c r="J768" s="35">
        <f>0</f>
        <v>0</v>
      </c>
      <c r="K768" s="35">
        <f ca="1">Gastos_Administrativos!M46</f>
        <v>173203</v>
      </c>
      <c r="L768" s="36" t="str">
        <f>Gastos_Administrativos!A46</f>
        <v>GA-2044</v>
      </c>
    </row>
    <row r="769" spans="1:12" x14ac:dyDescent="0.35">
      <c r="A769" s="32" t="str">
        <f>"CE-GA-"&amp;TEXT(5044,"0000")</f>
        <v>CE-GA-5044</v>
      </c>
      <c r="B769" s="33" t="str">
        <f>"Causación Gasto"</f>
        <v>Causación Gasto</v>
      </c>
      <c r="C769" s="34">
        <f ca="1">Gastos_Administrativos!B46</f>
        <v>46080</v>
      </c>
      <c r="D769" s="73" t="str">
        <f>"236701"</f>
        <v>236701</v>
      </c>
      <c r="E769" s="33" t="str">
        <f>"Retención IVA - Régimen común 15%"</f>
        <v>Retención IVA - Régimen común 15%</v>
      </c>
      <c r="F769" s="33" t="str">
        <f ca="1">Gastos_Administrativos!D46</f>
        <v>Bancolombia S.A.</v>
      </c>
      <c r="G769" s="33" t="str">
        <f ca="1">Gastos_Administrativos!E46</f>
        <v>890903938-8</v>
      </c>
      <c r="H769" s="33" t="str">
        <f ca="1">"CC-2"&amp;TEXT(MATCH(Gastos_Administrativos!G46,{"Administración";"Ventas";"Bodega";"Logística";"Gerencia"},0),"00")&amp;" "&amp;Gastos_Administrativos!G46</f>
        <v>CC-203 Bodega</v>
      </c>
      <c r="I769" s="33" t="str">
        <f>"ReteIVA 15% sobre IVA factura "&amp;Gastos_Administrativos!A46</f>
        <v>ReteIVA 15% sobre IVA factura GA-2044</v>
      </c>
      <c r="J769" s="35">
        <f>0</f>
        <v>0</v>
      </c>
      <c r="K769" s="35">
        <f ca="1">Gastos_Administrativos!O46</f>
        <v>197451</v>
      </c>
      <c r="L769" s="36" t="str">
        <f>Gastos_Administrativos!A46</f>
        <v>GA-2044</v>
      </c>
    </row>
    <row r="770" spans="1:12" x14ac:dyDescent="0.35">
      <c r="A770" s="32" t="str">
        <f>"CE-GA-"&amp;TEXT(5044,"0000")</f>
        <v>CE-GA-5044</v>
      </c>
      <c r="B770" s="33" t="str">
        <f>"Causación Gasto"</f>
        <v>Causación Gasto</v>
      </c>
      <c r="C770" s="34">
        <f ca="1">Gastos_Administrativos!B46</f>
        <v>46080</v>
      </c>
      <c r="D770" s="73" t="str">
        <f>"236805"</f>
        <v>236805</v>
      </c>
      <c r="E770" s="33" t="str">
        <f>"Retención ICA - Medellín 11.04‰"</f>
        <v>Retención ICA - Medellín 11.04‰</v>
      </c>
      <c r="F770" s="33" t="str">
        <f ca="1">Gastos_Administrativos!D46</f>
        <v>Bancolombia S.A.</v>
      </c>
      <c r="G770" s="33" t="str">
        <f ca="1">Gastos_Administrativos!E46</f>
        <v>890903938-8</v>
      </c>
      <c r="H770" s="33" t="str">
        <f ca="1">"CC-2"&amp;TEXT(MATCH(Gastos_Administrativos!G46,{"Administración";"Ventas";"Bodega";"Logística";"Gerencia"},0),"00")&amp;" "&amp;Gastos_Administrativos!G46</f>
        <v>CC-203 Bodega</v>
      </c>
      <c r="I770" s="33" t="str">
        <f>"ReteICA Medellín sobre gasto "&amp;Gastos_Administrativos!A46</f>
        <v>ReteICA Medellín sobre gasto GA-2044</v>
      </c>
      <c r="J770" s="35">
        <f>0</f>
        <v>0</v>
      </c>
      <c r="K770" s="35">
        <f ca="1">Gastos_Administrativos!Q46</f>
        <v>76486</v>
      </c>
      <c r="L770" s="36" t="str">
        <f>Gastos_Administrativos!A46</f>
        <v>GA-2044</v>
      </c>
    </row>
    <row r="771" spans="1:12" x14ac:dyDescent="0.35">
      <c r="A771" s="32" t="str">
        <f>"CE-GA-"&amp;TEXT(5044,"0000")</f>
        <v>CE-GA-5044</v>
      </c>
      <c r="B771" s="33" t="str">
        <f>"Causación Gasto"</f>
        <v>Causación Gasto</v>
      </c>
      <c r="C771" s="34">
        <f ca="1">Gastos_Administrativos!B46</f>
        <v>46080</v>
      </c>
      <c r="D771" s="73" t="str">
        <f>"233525"</f>
        <v>233525</v>
      </c>
      <c r="E771" s="33" t="str">
        <f>"Costos y gastos por pagar"</f>
        <v>Costos y gastos por pagar</v>
      </c>
      <c r="F771" s="33" t="str">
        <f ca="1">Gastos_Administrativos!D46</f>
        <v>Bancolombia S.A.</v>
      </c>
      <c r="G771" s="33" t="str">
        <f ca="1">Gastos_Administrativos!E46</f>
        <v>890903938-8</v>
      </c>
      <c r="H771" s="33" t="str">
        <f ca="1">"CC-2"&amp;TEXT(MATCH(Gastos_Administrativos!G46,{"Administración";"Ventas";"Bodega";"Logística";"Gerencia"},0),"00")&amp;" "&amp;Gastos_Administrativos!G46</f>
        <v>CC-203 Bodega</v>
      </c>
      <c r="I771" s="33" t="str">
        <f ca="1">"CxP gasto - "&amp;Gastos_Administrativos!D46&amp;" - "&amp;Gastos_Administrativos!A46</f>
        <v>CxP gasto - Bancolombia S.A. - GA-2044</v>
      </c>
      <c r="J771" s="35">
        <f>0</f>
        <v>0</v>
      </c>
      <c r="K771" s="35">
        <f ca="1">Gastos_Administrativos!R46</f>
        <v>7797299</v>
      </c>
      <c r="L771" s="36" t="str">
        <f>Gastos_Administrativos!A46</f>
        <v>GA-2044</v>
      </c>
    </row>
    <row r="772" spans="1:12" x14ac:dyDescent="0.35">
      <c r="A772" s="37" t="str">
        <f>"CE-GA-"&amp;TEXT(5045,"0000")</f>
        <v>CE-GA-5045</v>
      </c>
      <c r="B772" s="38" t="str">
        <f>"Causación Gasto"</f>
        <v>Causación Gasto</v>
      </c>
      <c r="C772" s="39">
        <f ca="1">Gastos_Administrativos!B47</f>
        <v>46048</v>
      </c>
      <c r="D772" s="74" t="str">
        <f ca="1">CHOOSE(MATCH(Gastos_Administrativos!F47,{"Arrendamientos";"Servicios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514515</v>
      </c>
      <c r="E772" s="38" t="str">
        <f ca="1">CHOOSE(MATCH(Gastos_Administrativos!F47,{"Arrendamientos";"Servicios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Sistematización</v>
      </c>
      <c r="F772" s="38" t="str">
        <f ca="1">Gastos_Administrativos!D47</f>
        <v>Vigilancia Andina Seguridad Ltda.</v>
      </c>
      <c r="G772" s="38" t="str">
        <f ca="1">Gastos_Administrativos!E47</f>
        <v>800678901-5</v>
      </c>
      <c r="H772" s="38" t="str">
        <f ca="1">"CC-2"&amp;TEXT(MATCH(Gastos_Administrativos!G47,{"Administración";"Ventas";"Bodega";"Logística";"Gerencia"},0),"00")&amp;" "&amp;Gastos_Administrativos!G47</f>
        <v>CC-204 Logística</v>
      </c>
      <c r="I772" s="38" t="str">
        <f ca="1">"Causación gasto - "&amp;Gastos_Administrativos!C47&amp;" - "&amp;Gastos_Administrativos!A47</f>
        <v>Causación gasto - Plataforma facturación electrónica - GA-2045</v>
      </c>
      <c r="J772" s="40">
        <f ca="1">Gastos_Administrativos!H47</f>
        <v>6497200</v>
      </c>
      <c r="K772" s="40">
        <f>0</f>
        <v>0</v>
      </c>
      <c r="L772" s="41" t="str">
        <f>Gastos_Administrativos!A47</f>
        <v>GA-2045</v>
      </c>
    </row>
    <row r="773" spans="1:12" x14ac:dyDescent="0.35">
      <c r="A773" s="37" t="str">
        <f>"CE-GA-"&amp;TEXT(5045,"0000")</f>
        <v>CE-GA-5045</v>
      </c>
      <c r="B773" s="38" t="str">
        <f>"Causación Gasto"</f>
        <v>Causación Gasto</v>
      </c>
      <c r="C773" s="39">
        <f ca="1">Gastos_Administrativos!B47</f>
        <v>46048</v>
      </c>
      <c r="D773" s="74" t="str">
        <f>"240810"</f>
        <v>240810</v>
      </c>
      <c r="E773" s="38" t="str">
        <f>"IVA descontable - servicios/compras"</f>
        <v>IVA descontable - servicios/compras</v>
      </c>
      <c r="F773" s="38" t="str">
        <f ca="1">Gastos_Administrativos!D47</f>
        <v>Vigilancia Andina Seguridad Ltda.</v>
      </c>
      <c r="G773" s="38" t="str">
        <f ca="1">Gastos_Administrativos!E47</f>
        <v>800678901-5</v>
      </c>
      <c r="H773" s="38" t="str">
        <f ca="1">"CC-2"&amp;TEXT(MATCH(Gastos_Administrativos!G47,{"Administración";"Ventas";"Bodega";"Logística";"Gerencia"},0),"00")&amp;" "&amp;Gastos_Administrativos!G47</f>
        <v>CC-204 Logística</v>
      </c>
      <c r="I773" s="38" t="str">
        <f>"IVA descontable factura "&amp;Gastos_Administrativos!A47</f>
        <v>IVA descontable factura GA-2045</v>
      </c>
      <c r="J773" s="40">
        <f ca="1">Gastos_Administrativos!J47</f>
        <v>1234468</v>
      </c>
      <c r="K773" s="40">
        <f>0</f>
        <v>0</v>
      </c>
      <c r="L773" s="41" t="str">
        <f>Gastos_Administrativos!A47</f>
        <v>GA-2045</v>
      </c>
    </row>
    <row r="774" spans="1:12" x14ac:dyDescent="0.35">
      <c r="A774" s="37" t="str">
        <f>"CE-GA-"&amp;TEXT(5045,"0000")</f>
        <v>CE-GA-5045</v>
      </c>
      <c r="B774" s="38" t="str">
        <f>"Causación Gasto"</f>
        <v>Causación Gasto</v>
      </c>
      <c r="C774" s="39">
        <f ca="1">Gastos_Administrativos!B47</f>
        <v>46048</v>
      </c>
      <c r="D774" s="74" t="str">
        <f ca="1">IF(Gastos_Administrativos!L47=0,"236540",CHOOSE(MATCH(Gastos_Administrativos!F47,{"Arrendamientos";"Servicios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236525</v>
      </c>
      <c r="E774" s="38" t="str">
        <f ca="1">"ReteFuente "&amp;TEXT(Gastos_Administrativos!L47,"0.00%")&amp;" - "&amp;Gastos_Administrativos!F47</f>
        <v>ReteFuente 004% - Tecnología</v>
      </c>
      <c r="F774" s="38" t="str">
        <f ca="1">Gastos_Administrativos!D47</f>
        <v>Vigilancia Andina Seguridad Ltda.</v>
      </c>
      <c r="G774" s="38" t="str">
        <f ca="1">Gastos_Administrativos!E47</f>
        <v>800678901-5</v>
      </c>
      <c r="H774" s="38" t="str">
        <f ca="1">"CC-2"&amp;TEXT(MATCH(Gastos_Administrativos!G47,{"Administración";"Ventas";"Bodega";"Logística";"Gerencia"},0),"00")&amp;" "&amp;Gastos_Administrativos!G47</f>
        <v>CC-204 Logística</v>
      </c>
      <c r="I774" s="38" t="str">
        <f ca="1">"ReteFuente "&amp;Gastos_Administrativos!C47&amp;" - "&amp;Gastos_Administrativos!A47</f>
        <v>ReteFuente Plataforma facturación electrónica - GA-2045</v>
      </c>
      <c r="J774" s="40">
        <f>0</f>
        <v>0</v>
      </c>
      <c r="K774" s="40">
        <f ca="1">Gastos_Administrativos!M47</f>
        <v>227402</v>
      </c>
      <c r="L774" s="41" t="str">
        <f>Gastos_Administrativos!A47</f>
        <v>GA-2045</v>
      </c>
    </row>
    <row r="775" spans="1:12" x14ac:dyDescent="0.35">
      <c r="A775" s="37" t="str">
        <f>"CE-GA-"&amp;TEXT(5045,"0000")</f>
        <v>CE-GA-5045</v>
      </c>
      <c r="B775" s="38" t="str">
        <f>"Causación Gasto"</f>
        <v>Causación Gasto</v>
      </c>
      <c r="C775" s="39">
        <f ca="1">Gastos_Administrativos!B47</f>
        <v>46048</v>
      </c>
      <c r="D775" s="74" t="str">
        <f>"236701"</f>
        <v>236701</v>
      </c>
      <c r="E775" s="38" t="str">
        <f>"Retención IVA - Régimen común 15%"</f>
        <v>Retención IVA - Régimen común 15%</v>
      </c>
      <c r="F775" s="38" t="str">
        <f ca="1">Gastos_Administrativos!D47</f>
        <v>Vigilancia Andina Seguridad Ltda.</v>
      </c>
      <c r="G775" s="38" t="str">
        <f ca="1">Gastos_Administrativos!E47</f>
        <v>800678901-5</v>
      </c>
      <c r="H775" s="38" t="str">
        <f ca="1">"CC-2"&amp;TEXT(MATCH(Gastos_Administrativos!G47,{"Administración";"Ventas";"Bodega";"Logística";"Gerencia"},0),"00")&amp;" "&amp;Gastos_Administrativos!G47</f>
        <v>CC-204 Logística</v>
      </c>
      <c r="I775" s="38" t="str">
        <f>"ReteIVA 15% sobre IVA factura "&amp;Gastos_Administrativos!A47</f>
        <v>ReteIVA 15% sobre IVA factura GA-2045</v>
      </c>
      <c r="J775" s="40">
        <f>0</f>
        <v>0</v>
      </c>
      <c r="K775" s="40">
        <f ca="1">Gastos_Administrativos!O47</f>
        <v>185170</v>
      </c>
      <c r="L775" s="41" t="str">
        <f>Gastos_Administrativos!A47</f>
        <v>GA-2045</v>
      </c>
    </row>
    <row r="776" spans="1:12" x14ac:dyDescent="0.35">
      <c r="A776" s="37" t="str">
        <f>"CE-GA-"&amp;TEXT(5045,"0000")</f>
        <v>CE-GA-5045</v>
      </c>
      <c r="B776" s="38" t="str">
        <f>"Causación Gasto"</f>
        <v>Causación Gasto</v>
      </c>
      <c r="C776" s="39">
        <f ca="1">Gastos_Administrativos!B47</f>
        <v>46048</v>
      </c>
      <c r="D776" s="74" t="str">
        <f>"236805"</f>
        <v>236805</v>
      </c>
      <c r="E776" s="38" t="str">
        <f>"Retención ICA - Medellín 11.04‰"</f>
        <v>Retención ICA - Medellín 11.04‰</v>
      </c>
      <c r="F776" s="38" t="str">
        <f ca="1">Gastos_Administrativos!D47</f>
        <v>Vigilancia Andina Seguridad Ltda.</v>
      </c>
      <c r="G776" s="38" t="str">
        <f ca="1">Gastos_Administrativos!E47</f>
        <v>800678901-5</v>
      </c>
      <c r="H776" s="38" t="str">
        <f ca="1">"CC-2"&amp;TEXT(MATCH(Gastos_Administrativos!G47,{"Administración";"Ventas";"Bodega";"Logística";"Gerencia"},0),"00")&amp;" "&amp;Gastos_Administrativos!G47</f>
        <v>CC-204 Logística</v>
      </c>
      <c r="I776" s="38" t="str">
        <f>"ReteICA Medellín sobre gasto "&amp;Gastos_Administrativos!A47</f>
        <v>ReteICA Medellín sobre gasto GA-2045</v>
      </c>
      <c r="J776" s="40">
        <f>0</f>
        <v>0</v>
      </c>
      <c r="K776" s="40">
        <f ca="1">Gastos_Administrativos!Q47</f>
        <v>71729</v>
      </c>
      <c r="L776" s="41" t="str">
        <f>Gastos_Administrativos!A47</f>
        <v>GA-2045</v>
      </c>
    </row>
    <row r="777" spans="1:12" x14ac:dyDescent="0.35">
      <c r="A777" s="37" t="str">
        <f>"CE-GA-"&amp;TEXT(5045,"0000")</f>
        <v>CE-GA-5045</v>
      </c>
      <c r="B777" s="38" t="str">
        <f>"Causación Gasto"</f>
        <v>Causación Gasto</v>
      </c>
      <c r="C777" s="39">
        <f ca="1">Gastos_Administrativos!B47</f>
        <v>46048</v>
      </c>
      <c r="D777" s="74" t="str">
        <f>"233525"</f>
        <v>233525</v>
      </c>
      <c r="E777" s="38" t="str">
        <f>"Costos y gastos por pagar"</f>
        <v>Costos y gastos por pagar</v>
      </c>
      <c r="F777" s="38" t="str">
        <f ca="1">Gastos_Administrativos!D47</f>
        <v>Vigilancia Andina Seguridad Ltda.</v>
      </c>
      <c r="G777" s="38" t="str">
        <f ca="1">Gastos_Administrativos!E47</f>
        <v>800678901-5</v>
      </c>
      <c r="H777" s="38" t="str">
        <f ca="1">"CC-2"&amp;TEXT(MATCH(Gastos_Administrativos!G47,{"Administración";"Ventas";"Bodega";"Logística";"Gerencia"},0),"00")&amp;" "&amp;Gastos_Administrativos!G47</f>
        <v>CC-204 Logística</v>
      </c>
      <c r="I777" s="38" t="str">
        <f ca="1">"CxP gasto - "&amp;Gastos_Administrativos!D47&amp;" - "&amp;Gastos_Administrativos!A47</f>
        <v>CxP gasto - Vigilancia Andina Seguridad Ltda. - GA-2045</v>
      </c>
      <c r="J777" s="40">
        <f>0</f>
        <v>0</v>
      </c>
      <c r="K777" s="40">
        <f ca="1">Gastos_Administrativos!R47</f>
        <v>7247367</v>
      </c>
      <c r="L777" s="41" t="str">
        <f>Gastos_Administrativos!A47</f>
        <v>GA-2045</v>
      </c>
    </row>
    <row r="778" spans="1:12" x14ac:dyDescent="0.35">
      <c r="A778" s="32" t="str">
        <f>"CE-GA-"&amp;TEXT(5046,"0000")</f>
        <v>CE-GA-5046</v>
      </c>
      <c r="B778" s="33" t="str">
        <f>"Causación Gasto"</f>
        <v>Causación Gasto</v>
      </c>
      <c r="C778" s="34">
        <f ca="1">Gastos_Administrativos!B48</f>
        <v>46097</v>
      </c>
      <c r="D778" s="73" t="str">
        <f ca="1">CHOOSE(MATCH(Gastos_Administrativos!F48,{"Arrendamientos";"Servicios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513550</v>
      </c>
      <c r="E778" s="33" t="str">
        <f ca="1">CHOOSE(MATCH(Gastos_Administrativos!F48,{"Arrendamientos";"Servicios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Servicios</v>
      </c>
      <c r="F778" s="33" t="str">
        <f ca="1">Gastos_Administrativos!D48</f>
        <v>Papelería La Candelaria S.A.S.</v>
      </c>
      <c r="G778" s="33" t="str">
        <f ca="1">Gastos_Administrativos!E48</f>
        <v>890567123-8</v>
      </c>
      <c r="H778" s="33" t="str">
        <f ca="1">"CC-2"&amp;TEXT(MATCH(Gastos_Administrativos!G48,{"Administración";"Ventas";"Bodega";"Logística";"Gerencia"},0),"00")&amp;" "&amp;Gastos_Administrativos!G48</f>
        <v>CC-204 Logística</v>
      </c>
      <c r="I778" s="33" t="str">
        <f ca="1">"Causación gasto - "&amp;Gastos_Administrativos!C48&amp;" - "&amp;Gastos_Administrativos!A48</f>
        <v>Causación gasto - Servicio de vigilancia privada - GA-2046</v>
      </c>
      <c r="J778" s="35">
        <f ca="1">Gastos_Administrativos!H48</f>
        <v>6373500</v>
      </c>
      <c r="K778" s="35">
        <f>0</f>
        <v>0</v>
      </c>
      <c r="L778" s="36" t="str">
        <f>Gastos_Administrativos!A48</f>
        <v>GA-2046</v>
      </c>
    </row>
    <row r="779" spans="1:12" x14ac:dyDescent="0.35">
      <c r="A779" s="32" t="str">
        <f>"CE-GA-"&amp;TEXT(5046,"0000")</f>
        <v>CE-GA-5046</v>
      </c>
      <c r="B779" s="33" t="str">
        <f>"Causación Gasto"</f>
        <v>Causación Gasto</v>
      </c>
      <c r="C779" s="34">
        <f ca="1">Gastos_Administrativos!B48</f>
        <v>46097</v>
      </c>
      <c r="D779" s="73" t="str">
        <f>"240810"</f>
        <v>240810</v>
      </c>
      <c r="E779" s="33" t="str">
        <f>"IVA descontable - servicios/compras"</f>
        <v>IVA descontable - servicios/compras</v>
      </c>
      <c r="F779" s="33" t="str">
        <f ca="1">Gastos_Administrativos!D48</f>
        <v>Papelería La Candelaria S.A.S.</v>
      </c>
      <c r="G779" s="33" t="str">
        <f ca="1">Gastos_Administrativos!E48</f>
        <v>890567123-8</v>
      </c>
      <c r="H779" s="33" t="str">
        <f ca="1">"CC-2"&amp;TEXT(MATCH(Gastos_Administrativos!G48,{"Administración";"Ventas";"Bodega";"Logística";"Gerencia"},0),"00")&amp;" "&amp;Gastos_Administrativos!G48</f>
        <v>CC-204 Logística</v>
      </c>
      <c r="I779" s="33" t="str">
        <f>"IVA descontable factura "&amp;Gastos_Administrativos!A48</f>
        <v>IVA descontable factura GA-2046</v>
      </c>
      <c r="J779" s="35">
        <f ca="1">Gastos_Administrativos!J48</f>
        <v>1210965</v>
      </c>
      <c r="K779" s="35">
        <f>0</f>
        <v>0</v>
      </c>
      <c r="L779" s="36" t="str">
        <f>Gastos_Administrativos!A48</f>
        <v>GA-2046</v>
      </c>
    </row>
    <row r="780" spans="1:12" x14ac:dyDescent="0.35">
      <c r="A780" s="32" t="str">
        <f>"CE-GA-"&amp;TEXT(5046,"0000")</f>
        <v>CE-GA-5046</v>
      </c>
      <c r="B780" s="33" t="str">
        <f>"Causación Gasto"</f>
        <v>Causación Gasto</v>
      </c>
      <c r="C780" s="34">
        <f ca="1">Gastos_Administrativos!B48</f>
        <v>46097</v>
      </c>
      <c r="D780" s="73" t="str">
        <f ca="1">IF(Gastos_Administrativos!L48=0,"236540",CHOOSE(MATCH(Gastos_Administrativos!F48,{"Arrendamientos";"Servicios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236530</v>
      </c>
      <c r="E780" s="33" t="str">
        <f ca="1">"ReteFuente "&amp;TEXT(Gastos_Administrativos!L48,"0.00%")&amp;" - "&amp;Gastos_Administrativos!F48</f>
        <v>ReteFuente 002% - Servicios</v>
      </c>
      <c r="F780" s="33" t="str">
        <f ca="1">Gastos_Administrativos!D48</f>
        <v>Papelería La Candelaria S.A.S.</v>
      </c>
      <c r="G780" s="33" t="str">
        <f ca="1">Gastos_Administrativos!E48</f>
        <v>890567123-8</v>
      </c>
      <c r="H780" s="33" t="str">
        <f ca="1">"CC-2"&amp;TEXT(MATCH(Gastos_Administrativos!G48,{"Administración";"Ventas";"Bodega";"Logística";"Gerencia"},0),"00")&amp;" "&amp;Gastos_Administrativos!G48</f>
        <v>CC-204 Logística</v>
      </c>
      <c r="I780" s="33" t="str">
        <f ca="1">"ReteFuente "&amp;Gastos_Administrativos!C48&amp;" - "&amp;Gastos_Administrativos!A48</f>
        <v>ReteFuente Servicio de vigilancia privada - GA-2046</v>
      </c>
      <c r="J780" s="35">
        <f>0</f>
        <v>0</v>
      </c>
      <c r="K780" s="35">
        <f ca="1">Gastos_Administrativos!M48</f>
        <v>127470</v>
      </c>
      <c r="L780" s="36" t="str">
        <f>Gastos_Administrativos!A48</f>
        <v>GA-2046</v>
      </c>
    </row>
    <row r="781" spans="1:12" x14ac:dyDescent="0.35">
      <c r="A781" s="32" t="str">
        <f>"CE-GA-"&amp;TEXT(5046,"0000")</f>
        <v>CE-GA-5046</v>
      </c>
      <c r="B781" s="33" t="str">
        <f>"Causación Gasto"</f>
        <v>Causación Gasto</v>
      </c>
      <c r="C781" s="34">
        <f ca="1">Gastos_Administrativos!B48</f>
        <v>46097</v>
      </c>
      <c r="D781" s="73" t="str">
        <f>"236701"</f>
        <v>236701</v>
      </c>
      <c r="E781" s="33" t="str">
        <f>"Retención IVA - Régimen común 15%"</f>
        <v>Retención IVA - Régimen común 15%</v>
      </c>
      <c r="F781" s="33" t="str">
        <f ca="1">Gastos_Administrativos!D48</f>
        <v>Papelería La Candelaria S.A.S.</v>
      </c>
      <c r="G781" s="33" t="str">
        <f ca="1">Gastos_Administrativos!E48</f>
        <v>890567123-8</v>
      </c>
      <c r="H781" s="33" t="str">
        <f ca="1">"CC-2"&amp;TEXT(MATCH(Gastos_Administrativos!G48,{"Administración";"Ventas";"Bodega";"Logística";"Gerencia"},0),"00")&amp;" "&amp;Gastos_Administrativos!G48</f>
        <v>CC-204 Logística</v>
      </c>
      <c r="I781" s="33" t="str">
        <f>"ReteIVA 15% sobre IVA factura "&amp;Gastos_Administrativos!A48</f>
        <v>ReteIVA 15% sobre IVA factura GA-2046</v>
      </c>
      <c r="J781" s="35">
        <f>0</f>
        <v>0</v>
      </c>
      <c r="K781" s="35">
        <f ca="1">Gastos_Administrativos!O48</f>
        <v>181645</v>
      </c>
      <c r="L781" s="36" t="str">
        <f>Gastos_Administrativos!A48</f>
        <v>GA-2046</v>
      </c>
    </row>
    <row r="782" spans="1:12" x14ac:dyDescent="0.35">
      <c r="A782" s="32" t="str">
        <f>"CE-GA-"&amp;TEXT(5046,"0000")</f>
        <v>CE-GA-5046</v>
      </c>
      <c r="B782" s="33" t="str">
        <f>"Causación Gasto"</f>
        <v>Causación Gasto</v>
      </c>
      <c r="C782" s="34">
        <f ca="1">Gastos_Administrativos!B48</f>
        <v>46097</v>
      </c>
      <c r="D782" s="73" t="str">
        <f>"236805"</f>
        <v>236805</v>
      </c>
      <c r="E782" s="33" t="str">
        <f>"Retención ICA - Medellín 11.04‰"</f>
        <v>Retención ICA - Medellín 11.04‰</v>
      </c>
      <c r="F782" s="33" t="str">
        <f ca="1">Gastos_Administrativos!D48</f>
        <v>Papelería La Candelaria S.A.S.</v>
      </c>
      <c r="G782" s="33" t="str">
        <f ca="1">Gastos_Administrativos!E48</f>
        <v>890567123-8</v>
      </c>
      <c r="H782" s="33" t="str">
        <f ca="1">"CC-2"&amp;TEXT(MATCH(Gastos_Administrativos!G48,{"Administración";"Ventas";"Bodega";"Logística";"Gerencia"},0),"00")&amp;" "&amp;Gastos_Administrativos!G48</f>
        <v>CC-204 Logística</v>
      </c>
      <c r="I782" s="33" t="str">
        <f>"ReteICA Medellín sobre gasto "&amp;Gastos_Administrativos!A48</f>
        <v>ReteICA Medellín sobre gasto GA-2046</v>
      </c>
      <c r="J782" s="35">
        <f>0</f>
        <v>0</v>
      </c>
      <c r="K782" s="35">
        <f ca="1">Gastos_Administrativos!Q48</f>
        <v>70363</v>
      </c>
      <c r="L782" s="36" t="str">
        <f>Gastos_Administrativos!A48</f>
        <v>GA-2046</v>
      </c>
    </row>
    <row r="783" spans="1:12" x14ac:dyDescent="0.35">
      <c r="A783" s="32" t="str">
        <f>"CE-GA-"&amp;TEXT(5046,"0000")</f>
        <v>CE-GA-5046</v>
      </c>
      <c r="B783" s="33" t="str">
        <f>"Causación Gasto"</f>
        <v>Causación Gasto</v>
      </c>
      <c r="C783" s="34">
        <f ca="1">Gastos_Administrativos!B48</f>
        <v>46097</v>
      </c>
      <c r="D783" s="73" t="str">
        <f>"233525"</f>
        <v>233525</v>
      </c>
      <c r="E783" s="33" t="str">
        <f>"Costos y gastos por pagar"</f>
        <v>Costos y gastos por pagar</v>
      </c>
      <c r="F783" s="33" t="str">
        <f ca="1">Gastos_Administrativos!D48</f>
        <v>Papelería La Candelaria S.A.S.</v>
      </c>
      <c r="G783" s="33" t="str">
        <f ca="1">Gastos_Administrativos!E48</f>
        <v>890567123-8</v>
      </c>
      <c r="H783" s="33" t="str">
        <f ca="1">"CC-2"&amp;TEXT(MATCH(Gastos_Administrativos!G48,{"Administración";"Ventas";"Bodega";"Logística";"Gerencia"},0),"00")&amp;" "&amp;Gastos_Administrativos!G48</f>
        <v>CC-204 Logística</v>
      </c>
      <c r="I783" s="33" t="str">
        <f ca="1">"CxP gasto - "&amp;Gastos_Administrativos!D48&amp;" - "&amp;Gastos_Administrativos!A48</f>
        <v>CxP gasto - Papelería La Candelaria S.A.S. - GA-2046</v>
      </c>
      <c r="J783" s="35">
        <f>0</f>
        <v>0</v>
      </c>
      <c r="K783" s="35">
        <f ca="1">Gastos_Administrativos!R48</f>
        <v>7204987</v>
      </c>
      <c r="L783" s="36" t="str">
        <f>Gastos_Administrativos!A48</f>
        <v>GA-2046</v>
      </c>
    </row>
    <row r="784" spans="1:12" x14ac:dyDescent="0.35">
      <c r="A784" s="37" t="str">
        <f>"CE-GA-"&amp;TEXT(5047,"0000")</f>
        <v>CE-GA-5047</v>
      </c>
      <c r="B784" s="38" t="str">
        <f>"Causación Gasto"</f>
        <v>Causación Gasto</v>
      </c>
      <c r="C784" s="39">
        <f ca="1">Gastos_Administrativos!B49</f>
        <v>46065</v>
      </c>
      <c r="D784" s="74" t="str">
        <f ca="1">CHOOSE(MATCH(Gastos_Administrativos!F49,{"Arrendamientos";"Servicios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513550</v>
      </c>
      <c r="E784" s="38" t="str">
        <f ca="1">CHOOSE(MATCH(Gastos_Administrativos!F49,{"Arrendamientos";"Servicios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Servicios</v>
      </c>
      <c r="F784" s="38" t="str">
        <f ca="1">Gastos_Administrativos!D49</f>
        <v>TecnoSoporte Paisa S.A.S.</v>
      </c>
      <c r="G784" s="38" t="str">
        <f ca="1">Gastos_Administrativos!E49</f>
        <v>901456789-6</v>
      </c>
      <c r="H784" s="38" t="str">
        <f ca="1">"CC-2"&amp;TEXT(MATCH(Gastos_Administrativos!G49,{"Administración";"Ventas";"Bodega";"Logística";"Gerencia"},0),"00")&amp;" "&amp;Gastos_Administrativos!G49</f>
        <v>CC-203 Bodega</v>
      </c>
      <c r="I784" s="38" t="str">
        <f ca="1">"Causación gasto - "&amp;Gastos_Administrativos!C49&amp;" - "&amp;Gastos_Administrativos!A49</f>
        <v>Causación gasto - Servicio de courier y mensajería - GA-2047</v>
      </c>
      <c r="J784" s="40">
        <f ca="1">Gastos_Administrativos!H49</f>
        <v>6026800</v>
      </c>
      <c r="K784" s="40">
        <f>0</f>
        <v>0</v>
      </c>
      <c r="L784" s="41" t="str">
        <f>Gastos_Administrativos!A49</f>
        <v>GA-2047</v>
      </c>
    </row>
    <row r="785" spans="1:12" x14ac:dyDescent="0.35">
      <c r="A785" s="37" t="str">
        <f>"CE-GA-"&amp;TEXT(5047,"0000")</f>
        <v>CE-GA-5047</v>
      </c>
      <c r="B785" s="38" t="str">
        <f>"Causación Gasto"</f>
        <v>Causación Gasto</v>
      </c>
      <c r="C785" s="39">
        <f ca="1">Gastos_Administrativos!B49</f>
        <v>46065</v>
      </c>
      <c r="D785" s="74" t="str">
        <f>"240810"</f>
        <v>240810</v>
      </c>
      <c r="E785" s="38" t="str">
        <f>"IVA descontable - servicios/compras"</f>
        <v>IVA descontable - servicios/compras</v>
      </c>
      <c r="F785" s="38" t="str">
        <f ca="1">Gastos_Administrativos!D49</f>
        <v>TecnoSoporte Paisa S.A.S.</v>
      </c>
      <c r="G785" s="38" t="str">
        <f ca="1">Gastos_Administrativos!E49</f>
        <v>901456789-6</v>
      </c>
      <c r="H785" s="38" t="str">
        <f ca="1">"CC-2"&amp;TEXT(MATCH(Gastos_Administrativos!G49,{"Administración";"Ventas";"Bodega";"Logística";"Gerencia"},0),"00")&amp;" "&amp;Gastos_Administrativos!G49</f>
        <v>CC-203 Bodega</v>
      </c>
      <c r="I785" s="38" t="str">
        <f>"IVA descontable factura "&amp;Gastos_Administrativos!A49</f>
        <v>IVA descontable factura GA-2047</v>
      </c>
      <c r="J785" s="40">
        <f ca="1">Gastos_Administrativos!J49</f>
        <v>1145092</v>
      </c>
      <c r="K785" s="40">
        <f>0</f>
        <v>0</v>
      </c>
      <c r="L785" s="41" t="str">
        <f>Gastos_Administrativos!A49</f>
        <v>GA-2047</v>
      </c>
    </row>
    <row r="786" spans="1:12" x14ac:dyDescent="0.35">
      <c r="A786" s="37" t="str">
        <f>"CE-GA-"&amp;TEXT(5047,"0000")</f>
        <v>CE-GA-5047</v>
      </c>
      <c r="B786" s="38" t="str">
        <f>"Causación Gasto"</f>
        <v>Causación Gasto</v>
      </c>
      <c r="C786" s="39">
        <f ca="1">Gastos_Administrativos!B49</f>
        <v>46065</v>
      </c>
      <c r="D786" s="74" t="str">
        <f ca="1">IF(Gastos_Administrativos!L49=0,"236540",CHOOSE(MATCH(Gastos_Administrativos!F49,{"Arrendamientos";"Servicios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236530</v>
      </c>
      <c r="E786" s="38" t="str">
        <f ca="1">"ReteFuente "&amp;TEXT(Gastos_Administrativos!L49,"0.00%")&amp;" - "&amp;Gastos_Administrativos!F49</f>
        <v>ReteFuente 004% - Servicios</v>
      </c>
      <c r="F786" s="38" t="str">
        <f ca="1">Gastos_Administrativos!D49</f>
        <v>TecnoSoporte Paisa S.A.S.</v>
      </c>
      <c r="G786" s="38" t="str">
        <f ca="1">Gastos_Administrativos!E49</f>
        <v>901456789-6</v>
      </c>
      <c r="H786" s="38" t="str">
        <f ca="1">"CC-2"&amp;TEXT(MATCH(Gastos_Administrativos!G49,{"Administración";"Ventas";"Bodega";"Logística";"Gerencia"},0),"00")&amp;" "&amp;Gastos_Administrativos!G49</f>
        <v>CC-203 Bodega</v>
      </c>
      <c r="I786" s="38" t="str">
        <f ca="1">"ReteFuente "&amp;Gastos_Administrativos!C49&amp;" - "&amp;Gastos_Administrativos!A49</f>
        <v>ReteFuente Servicio de courier y mensajería - GA-2047</v>
      </c>
      <c r="J786" s="40">
        <f>0</f>
        <v>0</v>
      </c>
      <c r="K786" s="40">
        <f ca="1">Gastos_Administrativos!M49</f>
        <v>241072</v>
      </c>
      <c r="L786" s="41" t="str">
        <f>Gastos_Administrativos!A49</f>
        <v>GA-2047</v>
      </c>
    </row>
    <row r="787" spans="1:12" x14ac:dyDescent="0.35">
      <c r="A787" s="37" t="str">
        <f>"CE-GA-"&amp;TEXT(5047,"0000")</f>
        <v>CE-GA-5047</v>
      </c>
      <c r="B787" s="38" t="str">
        <f>"Causación Gasto"</f>
        <v>Causación Gasto</v>
      </c>
      <c r="C787" s="39">
        <f ca="1">Gastos_Administrativos!B49</f>
        <v>46065</v>
      </c>
      <c r="D787" s="74" t="str">
        <f>"236701"</f>
        <v>236701</v>
      </c>
      <c r="E787" s="38" t="str">
        <f>"Retención IVA - Régimen común 15%"</f>
        <v>Retención IVA - Régimen común 15%</v>
      </c>
      <c r="F787" s="38" t="str">
        <f ca="1">Gastos_Administrativos!D49</f>
        <v>TecnoSoporte Paisa S.A.S.</v>
      </c>
      <c r="G787" s="38" t="str">
        <f ca="1">Gastos_Administrativos!E49</f>
        <v>901456789-6</v>
      </c>
      <c r="H787" s="38" t="str">
        <f ca="1">"CC-2"&amp;TEXT(MATCH(Gastos_Administrativos!G49,{"Administración";"Ventas";"Bodega";"Logística";"Gerencia"},0),"00")&amp;" "&amp;Gastos_Administrativos!G49</f>
        <v>CC-203 Bodega</v>
      </c>
      <c r="I787" s="38" t="str">
        <f>"ReteIVA 15% sobre IVA factura "&amp;Gastos_Administrativos!A49</f>
        <v>ReteIVA 15% sobre IVA factura GA-2047</v>
      </c>
      <c r="J787" s="40">
        <f>0</f>
        <v>0</v>
      </c>
      <c r="K787" s="40">
        <f ca="1">Gastos_Administrativos!O49</f>
        <v>171764</v>
      </c>
      <c r="L787" s="41" t="str">
        <f>Gastos_Administrativos!A49</f>
        <v>GA-2047</v>
      </c>
    </row>
    <row r="788" spans="1:12" x14ac:dyDescent="0.35">
      <c r="A788" s="37" t="str">
        <f>"CE-GA-"&amp;TEXT(5047,"0000")</f>
        <v>CE-GA-5047</v>
      </c>
      <c r="B788" s="38" t="str">
        <f>"Causación Gasto"</f>
        <v>Causación Gasto</v>
      </c>
      <c r="C788" s="39">
        <f ca="1">Gastos_Administrativos!B49</f>
        <v>46065</v>
      </c>
      <c r="D788" s="74" t="str">
        <f>"236805"</f>
        <v>236805</v>
      </c>
      <c r="E788" s="38" t="str">
        <f>"Retención ICA - Medellín 11.04‰"</f>
        <v>Retención ICA - Medellín 11.04‰</v>
      </c>
      <c r="F788" s="38" t="str">
        <f ca="1">Gastos_Administrativos!D49</f>
        <v>TecnoSoporte Paisa S.A.S.</v>
      </c>
      <c r="G788" s="38" t="str">
        <f ca="1">Gastos_Administrativos!E49</f>
        <v>901456789-6</v>
      </c>
      <c r="H788" s="38" t="str">
        <f ca="1">"CC-2"&amp;TEXT(MATCH(Gastos_Administrativos!G49,{"Administración";"Ventas";"Bodega";"Logística";"Gerencia"},0),"00")&amp;" "&amp;Gastos_Administrativos!G49</f>
        <v>CC-203 Bodega</v>
      </c>
      <c r="I788" s="38" t="str">
        <f>"ReteICA Medellín sobre gasto "&amp;Gastos_Administrativos!A49</f>
        <v>ReteICA Medellín sobre gasto GA-2047</v>
      </c>
      <c r="J788" s="40">
        <f>0</f>
        <v>0</v>
      </c>
      <c r="K788" s="40">
        <f ca="1">Gastos_Administrativos!Q49</f>
        <v>66536</v>
      </c>
      <c r="L788" s="41" t="str">
        <f>Gastos_Administrativos!A49</f>
        <v>GA-2047</v>
      </c>
    </row>
    <row r="789" spans="1:12" x14ac:dyDescent="0.35">
      <c r="A789" s="37" t="str">
        <f>"CE-GA-"&amp;TEXT(5047,"0000")</f>
        <v>CE-GA-5047</v>
      </c>
      <c r="B789" s="38" t="str">
        <f>"Causación Gasto"</f>
        <v>Causación Gasto</v>
      </c>
      <c r="C789" s="39">
        <f ca="1">Gastos_Administrativos!B49</f>
        <v>46065</v>
      </c>
      <c r="D789" s="74" t="str">
        <f>"233525"</f>
        <v>233525</v>
      </c>
      <c r="E789" s="38" t="str">
        <f>"Costos y gastos por pagar"</f>
        <v>Costos y gastos por pagar</v>
      </c>
      <c r="F789" s="38" t="str">
        <f ca="1">Gastos_Administrativos!D49</f>
        <v>TecnoSoporte Paisa S.A.S.</v>
      </c>
      <c r="G789" s="38" t="str">
        <f ca="1">Gastos_Administrativos!E49</f>
        <v>901456789-6</v>
      </c>
      <c r="H789" s="38" t="str">
        <f ca="1">"CC-2"&amp;TEXT(MATCH(Gastos_Administrativos!G49,{"Administración";"Ventas";"Bodega";"Logística";"Gerencia"},0),"00")&amp;" "&amp;Gastos_Administrativos!G49</f>
        <v>CC-203 Bodega</v>
      </c>
      <c r="I789" s="38" t="str">
        <f ca="1">"CxP gasto - "&amp;Gastos_Administrativos!D49&amp;" - "&amp;Gastos_Administrativos!A49</f>
        <v>CxP gasto - TecnoSoporte Paisa S.A.S. - GA-2047</v>
      </c>
      <c r="J789" s="40">
        <f>0</f>
        <v>0</v>
      </c>
      <c r="K789" s="40">
        <f ca="1">Gastos_Administrativos!R49</f>
        <v>6692520</v>
      </c>
      <c r="L789" s="41" t="str">
        <f>Gastos_Administrativos!A49</f>
        <v>GA-2047</v>
      </c>
    </row>
    <row r="790" spans="1:12" x14ac:dyDescent="0.35">
      <c r="A790" s="32" t="str">
        <f>"CE-GA-"&amp;TEXT(5048,"0000")</f>
        <v>CE-GA-5048</v>
      </c>
      <c r="B790" s="33" t="str">
        <f>"Causación Gasto"</f>
        <v>Causación Gasto</v>
      </c>
      <c r="C790" s="34">
        <f ca="1">Gastos_Administrativos!B50</f>
        <v>46068</v>
      </c>
      <c r="D790" s="73" t="str">
        <f ca="1">CHOOSE(MATCH(Gastos_Administrativos!F50,{"Arrendamientos";"Servicios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512010</v>
      </c>
      <c r="E790" s="33" t="str">
        <f ca="1">CHOOSE(MATCH(Gastos_Administrativos!F50,{"Arrendamientos";"Servicios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Arrendamientos</v>
      </c>
      <c r="F790" s="33" t="str">
        <f ca="1">Gastos_Administrativos!D50</f>
        <v>Bancolombia S.A.</v>
      </c>
      <c r="G790" s="33" t="str">
        <f ca="1">Gastos_Administrativos!E50</f>
        <v>890903938-8</v>
      </c>
      <c r="H790" s="33" t="str">
        <f ca="1">"CC-2"&amp;TEXT(MATCH(Gastos_Administrativos!G50,{"Administración";"Ventas";"Bodega";"Logística";"Gerencia"},0),"00")&amp;" "&amp;Gastos_Administrativos!G50</f>
        <v>CC-203 Bodega</v>
      </c>
      <c r="I790" s="33" t="str">
        <f ca="1">"Causación gasto - "&amp;Gastos_Administrativos!C50&amp;" - "&amp;Gastos_Administrativos!A50</f>
        <v>Causación gasto - Arrendamiento local comercial - GA-2048</v>
      </c>
      <c r="J790" s="35">
        <f ca="1">Gastos_Administrativos!H50</f>
        <v>1033000</v>
      </c>
      <c r="K790" s="35">
        <f>0</f>
        <v>0</v>
      </c>
      <c r="L790" s="36" t="str">
        <f>Gastos_Administrativos!A50</f>
        <v>GA-2048</v>
      </c>
    </row>
    <row r="791" spans="1:12" x14ac:dyDescent="0.35">
      <c r="A791" s="32" t="str">
        <f>"CE-GA-"&amp;TEXT(5048,"0000")</f>
        <v>CE-GA-5048</v>
      </c>
      <c r="B791" s="33" t="str">
        <f>"Causación Gasto"</f>
        <v>Causación Gasto</v>
      </c>
      <c r="C791" s="34">
        <f ca="1">Gastos_Administrativos!B50</f>
        <v>46068</v>
      </c>
      <c r="D791" s="73" t="str">
        <f>"240810"</f>
        <v>240810</v>
      </c>
      <c r="E791" s="33" t="str">
        <f>"IVA descontable - servicios/compras"</f>
        <v>IVA descontable - servicios/compras</v>
      </c>
      <c r="F791" s="33" t="str">
        <f ca="1">Gastos_Administrativos!D50</f>
        <v>Bancolombia S.A.</v>
      </c>
      <c r="G791" s="33" t="str">
        <f ca="1">Gastos_Administrativos!E50</f>
        <v>890903938-8</v>
      </c>
      <c r="H791" s="33" t="str">
        <f ca="1">"CC-2"&amp;TEXT(MATCH(Gastos_Administrativos!G50,{"Administración";"Ventas";"Bodega";"Logística";"Gerencia"},0),"00")&amp;" "&amp;Gastos_Administrativos!G50</f>
        <v>CC-203 Bodega</v>
      </c>
      <c r="I791" s="33" t="str">
        <f>"IVA descontable factura "&amp;Gastos_Administrativos!A50</f>
        <v>IVA descontable factura GA-2048</v>
      </c>
      <c r="J791" s="35">
        <f ca="1">Gastos_Administrativos!J50</f>
        <v>196270</v>
      </c>
      <c r="K791" s="35">
        <f>0</f>
        <v>0</v>
      </c>
      <c r="L791" s="36" t="str">
        <f>Gastos_Administrativos!A50</f>
        <v>GA-2048</v>
      </c>
    </row>
    <row r="792" spans="1:12" x14ac:dyDescent="0.35">
      <c r="A792" s="32" t="str">
        <f>"CE-GA-"&amp;TEXT(5048,"0000")</f>
        <v>CE-GA-5048</v>
      </c>
      <c r="B792" s="33" t="str">
        <f>"Causación Gasto"</f>
        <v>Causación Gasto</v>
      </c>
      <c r="C792" s="34">
        <f ca="1">Gastos_Administrativos!B50</f>
        <v>46068</v>
      </c>
      <c r="D792" s="73" t="str">
        <f ca="1">IF(Gastos_Administrativos!L50=0,"236540",CHOOSE(MATCH(Gastos_Administrativos!F50,{"Arrendamientos";"Servicios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236525</v>
      </c>
      <c r="E792" s="33" t="str">
        <f ca="1">"ReteFuente "&amp;TEXT(Gastos_Administrativos!L50,"0.00%")&amp;" - "&amp;Gastos_Administrativos!F50</f>
        <v>ReteFuente 004% - Arrendamientos</v>
      </c>
      <c r="F792" s="33" t="str">
        <f ca="1">Gastos_Administrativos!D50</f>
        <v>Bancolombia S.A.</v>
      </c>
      <c r="G792" s="33" t="str">
        <f ca="1">Gastos_Administrativos!E50</f>
        <v>890903938-8</v>
      </c>
      <c r="H792" s="33" t="str">
        <f ca="1">"CC-2"&amp;TEXT(MATCH(Gastos_Administrativos!G50,{"Administración";"Ventas";"Bodega";"Logística";"Gerencia"},0),"00")&amp;" "&amp;Gastos_Administrativos!G50</f>
        <v>CC-203 Bodega</v>
      </c>
      <c r="I792" s="33" t="str">
        <f ca="1">"ReteFuente "&amp;Gastos_Administrativos!C50&amp;" - "&amp;Gastos_Administrativos!A50</f>
        <v>ReteFuente Arrendamiento local comercial - GA-2048</v>
      </c>
      <c r="J792" s="35">
        <f>0</f>
        <v>0</v>
      </c>
      <c r="K792" s="35">
        <f ca="1">Gastos_Administrativos!M50</f>
        <v>36155</v>
      </c>
      <c r="L792" s="36" t="str">
        <f>Gastos_Administrativos!A50</f>
        <v>GA-2048</v>
      </c>
    </row>
    <row r="793" spans="1:12" x14ac:dyDescent="0.35">
      <c r="A793" s="32" t="str">
        <f>"CE-GA-"&amp;TEXT(5048,"0000")</f>
        <v>CE-GA-5048</v>
      </c>
      <c r="B793" s="33" t="str">
        <f>"Causación Gasto"</f>
        <v>Causación Gasto</v>
      </c>
      <c r="C793" s="34">
        <f ca="1">Gastos_Administrativos!B50</f>
        <v>46068</v>
      </c>
      <c r="D793" s="73" t="str">
        <f>"236701"</f>
        <v>236701</v>
      </c>
      <c r="E793" s="33" t="str">
        <f>"Retención IVA - Régimen común 15%"</f>
        <v>Retención IVA - Régimen común 15%</v>
      </c>
      <c r="F793" s="33" t="str">
        <f ca="1">Gastos_Administrativos!D50</f>
        <v>Bancolombia S.A.</v>
      </c>
      <c r="G793" s="33" t="str">
        <f ca="1">Gastos_Administrativos!E50</f>
        <v>890903938-8</v>
      </c>
      <c r="H793" s="33" t="str">
        <f ca="1">"CC-2"&amp;TEXT(MATCH(Gastos_Administrativos!G50,{"Administración";"Ventas";"Bodega";"Logística";"Gerencia"},0),"00")&amp;" "&amp;Gastos_Administrativos!G50</f>
        <v>CC-203 Bodega</v>
      </c>
      <c r="I793" s="33" t="str">
        <f>"ReteIVA 15% sobre IVA factura "&amp;Gastos_Administrativos!A50</f>
        <v>ReteIVA 15% sobre IVA factura GA-2048</v>
      </c>
      <c r="J793" s="35">
        <f>0</f>
        <v>0</v>
      </c>
      <c r="K793" s="35">
        <f ca="1">Gastos_Administrativos!O50</f>
        <v>29441</v>
      </c>
      <c r="L793" s="36" t="str">
        <f>Gastos_Administrativos!A50</f>
        <v>GA-2048</v>
      </c>
    </row>
    <row r="794" spans="1:12" x14ac:dyDescent="0.35">
      <c r="A794" s="32" t="str">
        <f>"CE-GA-"&amp;TEXT(5048,"0000")</f>
        <v>CE-GA-5048</v>
      </c>
      <c r="B794" s="33" t="str">
        <f>"Causación Gasto"</f>
        <v>Causación Gasto</v>
      </c>
      <c r="C794" s="34">
        <f ca="1">Gastos_Administrativos!B50</f>
        <v>46068</v>
      </c>
      <c r="D794" s="73" t="str">
        <f>"236805"</f>
        <v>236805</v>
      </c>
      <c r="E794" s="33" t="str">
        <f>"Retención ICA - Medellín 11.04‰"</f>
        <v>Retención ICA - Medellín 11.04‰</v>
      </c>
      <c r="F794" s="33" t="str">
        <f ca="1">Gastos_Administrativos!D50</f>
        <v>Bancolombia S.A.</v>
      </c>
      <c r="G794" s="33" t="str">
        <f ca="1">Gastos_Administrativos!E50</f>
        <v>890903938-8</v>
      </c>
      <c r="H794" s="33" t="str">
        <f ca="1">"CC-2"&amp;TEXT(MATCH(Gastos_Administrativos!G50,{"Administración";"Ventas";"Bodega";"Logística";"Gerencia"},0),"00")&amp;" "&amp;Gastos_Administrativos!G50</f>
        <v>CC-203 Bodega</v>
      </c>
      <c r="I794" s="33" t="str">
        <f>"ReteICA Medellín sobre gasto "&amp;Gastos_Administrativos!A50</f>
        <v>ReteICA Medellín sobre gasto GA-2048</v>
      </c>
      <c r="J794" s="35">
        <f>0</f>
        <v>0</v>
      </c>
      <c r="K794" s="35">
        <f ca="1">Gastos_Administrativos!Q50</f>
        <v>11404</v>
      </c>
      <c r="L794" s="36" t="str">
        <f>Gastos_Administrativos!A50</f>
        <v>GA-2048</v>
      </c>
    </row>
    <row r="795" spans="1:12" x14ac:dyDescent="0.35">
      <c r="A795" s="32" t="str">
        <f>"CE-GA-"&amp;TEXT(5048,"0000")</f>
        <v>CE-GA-5048</v>
      </c>
      <c r="B795" s="33" t="str">
        <f>"Causación Gasto"</f>
        <v>Causación Gasto</v>
      </c>
      <c r="C795" s="34">
        <f ca="1">Gastos_Administrativos!B50</f>
        <v>46068</v>
      </c>
      <c r="D795" s="73" t="str">
        <f>"233525"</f>
        <v>233525</v>
      </c>
      <c r="E795" s="33" t="str">
        <f>"Costos y gastos por pagar"</f>
        <v>Costos y gastos por pagar</v>
      </c>
      <c r="F795" s="33" t="str">
        <f ca="1">Gastos_Administrativos!D50</f>
        <v>Bancolombia S.A.</v>
      </c>
      <c r="G795" s="33" t="str">
        <f ca="1">Gastos_Administrativos!E50</f>
        <v>890903938-8</v>
      </c>
      <c r="H795" s="33" t="str">
        <f ca="1">"CC-2"&amp;TEXT(MATCH(Gastos_Administrativos!G50,{"Administración";"Ventas";"Bodega";"Logística";"Gerencia"},0),"00")&amp;" "&amp;Gastos_Administrativos!G50</f>
        <v>CC-203 Bodega</v>
      </c>
      <c r="I795" s="33" t="str">
        <f ca="1">"CxP gasto - "&amp;Gastos_Administrativos!D50&amp;" - "&amp;Gastos_Administrativos!A50</f>
        <v>CxP gasto - Bancolombia S.A. - GA-2048</v>
      </c>
      <c r="J795" s="35">
        <f>0</f>
        <v>0</v>
      </c>
      <c r="K795" s="35">
        <f ca="1">Gastos_Administrativos!R50</f>
        <v>1152270</v>
      </c>
      <c r="L795" s="36" t="str">
        <f>Gastos_Administrativos!A50</f>
        <v>GA-2048</v>
      </c>
    </row>
    <row r="796" spans="1:12" x14ac:dyDescent="0.35">
      <c r="A796" s="37" t="str">
        <f>"CE-GA-"&amp;TEXT(5049,"0000")</f>
        <v>CE-GA-5049</v>
      </c>
      <c r="B796" s="38" t="str">
        <f>"Causación Gasto"</f>
        <v>Causación Gasto</v>
      </c>
      <c r="C796" s="39">
        <f ca="1">Gastos_Administrativos!B51</f>
        <v>46100</v>
      </c>
      <c r="D796" s="74" t="str">
        <f ca="1">CHOOSE(MATCH(Gastos_Administrativos!F51,{"Arrendamientos";"Servicios Públicos";"Honorarios";"Servicios";"Mantenimiento";"Publicidad";"Suministros";"Personal";"Tecnología";"Capacitación";"Transporte";"Legales";"Seguros";"Financieros"},0),"512010","513525","511005","513550","514505","523510","519525","510569","514515","510585","513550","511510","513025","530525")</f>
        <v>512010</v>
      </c>
      <c r="E796" s="38" t="str">
        <f ca="1">CHOOSE(MATCH(Gastos_Administrativos!F51,{"Arrendamientos";"Servicios Públicos";"Honorarios";"Servicios";"Mantenimiento";"Publicidad";"Suministros";"Personal";"Tecnología";"Capacitación";"Transporte";"Legales";"Seguros";"Financieros"},0),"Arrendamientos","Servicios públicos","Honorarios","Servicios","Mantenimiento y reparaciones","Publicidad y propaganda","Útiles, papelería y fotocopias","Dotación y suministro a trabajadores","Sistematización","Capacitación al personal","Combustibles, peajes y transporte","Legales","Seguros","Gastos bancarios")</f>
        <v>Arrendamientos</v>
      </c>
      <c r="F796" s="38" t="str">
        <f ca="1">Gastos_Administrativos!D51</f>
        <v>Agencia Digital Laureles S.A.S.</v>
      </c>
      <c r="G796" s="38" t="str">
        <f ca="1">Gastos_Administrativos!E51</f>
        <v>901567890-1</v>
      </c>
      <c r="H796" s="38" t="str">
        <f ca="1">"CC-2"&amp;TEXT(MATCH(Gastos_Administrativos!G51,{"Administración";"Ventas";"Bodega";"Logística";"Gerencia"},0),"00")&amp;" "&amp;Gastos_Administrativos!G51</f>
        <v>CC-201 Administración</v>
      </c>
      <c r="I796" s="38" t="str">
        <f ca="1">"Causación gasto - "&amp;Gastos_Administrativos!C51&amp;" - "&amp;Gastos_Administrativos!A51</f>
        <v>Causación gasto - Arrendamiento local comercial - GA-2049</v>
      </c>
      <c r="J796" s="40">
        <f ca="1">Gastos_Administrativos!H51</f>
        <v>2191400</v>
      </c>
      <c r="K796" s="40">
        <f>0</f>
        <v>0</v>
      </c>
      <c r="L796" s="41" t="str">
        <f>Gastos_Administrativos!A51</f>
        <v>GA-2049</v>
      </c>
    </row>
    <row r="797" spans="1:12" x14ac:dyDescent="0.35">
      <c r="A797" s="37" t="str">
        <f>"CE-GA-"&amp;TEXT(5049,"0000")</f>
        <v>CE-GA-5049</v>
      </c>
      <c r="B797" s="38" t="str">
        <f>"Causación Gasto"</f>
        <v>Causación Gasto</v>
      </c>
      <c r="C797" s="39">
        <f ca="1">Gastos_Administrativos!B51</f>
        <v>46100</v>
      </c>
      <c r="D797" s="74" t="str">
        <f>"240810"</f>
        <v>240810</v>
      </c>
      <c r="E797" s="38" t="str">
        <f>"IVA descontable - servicios/compras"</f>
        <v>IVA descontable - servicios/compras</v>
      </c>
      <c r="F797" s="38" t="str">
        <f ca="1">Gastos_Administrativos!D51</f>
        <v>Agencia Digital Laureles S.A.S.</v>
      </c>
      <c r="G797" s="38" t="str">
        <f ca="1">Gastos_Administrativos!E51</f>
        <v>901567890-1</v>
      </c>
      <c r="H797" s="38" t="str">
        <f ca="1">"CC-2"&amp;TEXT(MATCH(Gastos_Administrativos!G51,{"Administración";"Ventas";"Bodega";"Logística";"Gerencia"},0),"00")&amp;" "&amp;Gastos_Administrativos!G51</f>
        <v>CC-201 Administración</v>
      </c>
      <c r="I797" s="38" t="str">
        <f>"IVA descontable factura "&amp;Gastos_Administrativos!A51</f>
        <v>IVA descontable factura GA-2049</v>
      </c>
      <c r="J797" s="40">
        <f ca="1">Gastos_Administrativos!J51</f>
        <v>416366</v>
      </c>
      <c r="K797" s="40">
        <f>0</f>
        <v>0</v>
      </c>
      <c r="L797" s="41" t="str">
        <f>Gastos_Administrativos!A51</f>
        <v>GA-2049</v>
      </c>
    </row>
    <row r="798" spans="1:12" x14ac:dyDescent="0.35">
      <c r="A798" s="37" t="str">
        <f>"CE-GA-"&amp;TEXT(5049,"0000")</f>
        <v>CE-GA-5049</v>
      </c>
      <c r="B798" s="38" t="str">
        <f>"Causación Gasto"</f>
        <v>Causación Gasto</v>
      </c>
      <c r="C798" s="39">
        <f ca="1">Gastos_Administrativos!B51</f>
        <v>46100</v>
      </c>
      <c r="D798" s="74" t="str">
        <f ca="1">IF(Gastos_Administrativos!L51=0,"236540",CHOOSE(MATCH(Gastos_Administrativos!F51,{"Arrendamientos";"Servicios Públicos";"Honorarios";"Servicios";"Mantenimiento";"Publicidad";"Suministros";"Personal";"Tecnología";"Capacitación";"Transporte";"Legales";"Seguros";"Financieros"},0),"236525","236540","236515","236530","236530","236540","236540","236540","236525","236515","236570","236540","236535","236540"))</f>
        <v>236525</v>
      </c>
      <c r="E798" s="38" t="str">
        <f ca="1">"ReteFuente "&amp;TEXT(Gastos_Administrativos!L51,"0.00%")&amp;" - "&amp;Gastos_Administrativos!F51</f>
        <v>ReteFuente 004% - Arrendamientos</v>
      </c>
      <c r="F798" s="38" t="str">
        <f ca="1">Gastos_Administrativos!D51</f>
        <v>Agencia Digital Laureles S.A.S.</v>
      </c>
      <c r="G798" s="38" t="str">
        <f ca="1">Gastos_Administrativos!E51</f>
        <v>901567890-1</v>
      </c>
      <c r="H798" s="38" t="str">
        <f ca="1">"CC-2"&amp;TEXT(MATCH(Gastos_Administrativos!G51,{"Administración";"Ventas";"Bodega";"Logística";"Gerencia"},0),"00")&amp;" "&amp;Gastos_Administrativos!G51</f>
        <v>CC-201 Administración</v>
      </c>
      <c r="I798" s="38" t="str">
        <f ca="1">"ReteFuente "&amp;Gastos_Administrativos!C51&amp;" - "&amp;Gastos_Administrativos!A51</f>
        <v>ReteFuente Arrendamiento local comercial - GA-2049</v>
      </c>
      <c r="J798" s="40">
        <f>0</f>
        <v>0</v>
      </c>
      <c r="K798" s="40">
        <f ca="1">Gastos_Administrativos!M51</f>
        <v>76699</v>
      </c>
      <c r="L798" s="41" t="str">
        <f>Gastos_Administrativos!A51</f>
        <v>GA-2049</v>
      </c>
    </row>
    <row r="799" spans="1:12" x14ac:dyDescent="0.35">
      <c r="A799" s="37" t="str">
        <f>"CE-GA-"&amp;TEXT(5049,"0000")</f>
        <v>CE-GA-5049</v>
      </c>
      <c r="B799" s="38" t="str">
        <f>"Causación Gasto"</f>
        <v>Causación Gasto</v>
      </c>
      <c r="C799" s="39">
        <f ca="1">Gastos_Administrativos!B51</f>
        <v>46100</v>
      </c>
      <c r="D799" s="74" t="str">
        <f>"236701"</f>
        <v>236701</v>
      </c>
      <c r="E799" s="38" t="str">
        <f>"Retención IVA - Régimen común 15%"</f>
        <v>Retención IVA - Régimen común 15%</v>
      </c>
      <c r="F799" s="38" t="str">
        <f ca="1">Gastos_Administrativos!D51</f>
        <v>Agencia Digital Laureles S.A.S.</v>
      </c>
      <c r="G799" s="38" t="str">
        <f ca="1">Gastos_Administrativos!E51</f>
        <v>901567890-1</v>
      </c>
      <c r="H799" s="38" t="str">
        <f ca="1">"CC-2"&amp;TEXT(MATCH(Gastos_Administrativos!G51,{"Administración";"Ventas";"Bodega";"Logística";"Gerencia"},0),"00")&amp;" "&amp;Gastos_Administrativos!G51</f>
        <v>CC-201 Administración</v>
      </c>
      <c r="I799" s="38" t="str">
        <f>"ReteIVA 15% sobre IVA factura "&amp;Gastos_Administrativos!A51</f>
        <v>ReteIVA 15% sobre IVA factura GA-2049</v>
      </c>
      <c r="J799" s="40">
        <f>0</f>
        <v>0</v>
      </c>
      <c r="K799" s="40">
        <f ca="1">Gastos_Administrativos!O51</f>
        <v>62455</v>
      </c>
      <c r="L799" s="41" t="str">
        <f>Gastos_Administrativos!A51</f>
        <v>GA-2049</v>
      </c>
    </row>
    <row r="800" spans="1:12" x14ac:dyDescent="0.35">
      <c r="A800" s="37" t="str">
        <f>"CE-GA-"&amp;TEXT(5049,"0000")</f>
        <v>CE-GA-5049</v>
      </c>
      <c r="B800" s="38" t="str">
        <f>"Causación Gasto"</f>
        <v>Causación Gasto</v>
      </c>
      <c r="C800" s="39">
        <f ca="1">Gastos_Administrativos!B51</f>
        <v>46100</v>
      </c>
      <c r="D800" s="74" t="str">
        <f>"236805"</f>
        <v>236805</v>
      </c>
      <c r="E800" s="38" t="str">
        <f>"Retención ICA - Medellín 11.04‰"</f>
        <v>Retención ICA - Medellín 11.04‰</v>
      </c>
      <c r="F800" s="38" t="str">
        <f ca="1">Gastos_Administrativos!D51</f>
        <v>Agencia Digital Laureles S.A.S.</v>
      </c>
      <c r="G800" s="38" t="str">
        <f ca="1">Gastos_Administrativos!E51</f>
        <v>901567890-1</v>
      </c>
      <c r="H800" s="38" t="str">
        <f ca="1">"CC-2"&amp;TEXT(MATCH(Gastos_Administrativos!G51,{"Administración";"Ventas";"Bodega";"Logística";"Gerencia"},0),"00")&amp;" "&amp;Gastos_Administrativos!G51</f>
        <v>CC-201 Administración</v>
      </c>
      <c r="I800" s="38" t="str">
        <f>"ReteICA Medellín sobre gasto "&amp;Gastos_Administrativos!A51</f>
        <v>ReteICA Medellín sobre gasto GA-2049</v>
      </c>
      <c r="J800" s="40">
        <f>0</f>
        <v>0</v>
      </c>
      <c r="K800" s="40">
        <f ca="1">Gastos_Administrativos!Q51</f>
        <v>24193</v>
      </c>
      <c r="L800" s="41" t="str">
        <f>Gastos_Administrativos!A51</f>
        <v>GA-2049</v>
      </c>
    </row>
    <row r="801" spans="1:12" x14ac:dyDescent="0.35">
      <c r="A801" s="42" t="str">
        <f>"CE-GA-"&amp;TEXT(5049,"0000")</f>
        <v>CE-GA-5049</v>
      </c>
      <c r="B801" s="43" t="str">
        <f>"Causación Gasto"</f>
        <v>Causación Gasto</v>
      </c>
      <c r="C801" s="44">
        <f ca="1">Gastos_Administrativos!B51</f>
        <v>46100</v>
      </c>
      <c r="D801" s="75" t="str">
        <f>"233525"</f>
        <v>233525</v>
      </c>
      <c r="E801" s="43" t="str">
        <f>"Costos y gastos por pagar"</f>
        <v>Costos y gastos por pagar</v>
      </c>
      <c r="F801" s="43" t="str">
        <f ca="1">Gastos_Administrativos!D51</f>
        <v>Agencia Digital Laureles S.A.S.</v>
      </c>
      <c r="G801" s="43" t="str">
        <f ca="1">Gastos_Administrativos!E51</f>
        <v>901567890-1</v>
      </c>
      <c r="H801" s="43" t="str">
        <f ca="1">"CC-2"&amp;TEXT(MATCH(Gastos_Administrativos!G51,{"Administración";"Ventas";"Bodega";"Logística";"Gerencia"},0),"00")&amp;" "&amp;Gastos_Administrativos!G51</f>
        <v>CC-201 Administración</v>
      </c>
      <c r="I801" s="43" t="str">
        <f ca="1">"CxP gasto - "&amp;Gastos_Administrativos!D51&amp;" - "&amp;Gastos_Administrativos!A51</f>
        <v>CxP gasto - Agencia Digital Laureles S.A.S. - GA-2049</v>
      </c>
      <c r="J801" s="45">
        <f>0</f>
        <v>0</v>
      </c>
      <c r="K801" s="45">
        <f ca="1">Gastos_Administrativos!R51</f>
        <v>2444419</v>
      </c>
      <c r="L801" s="46" t="str">
        <f>Gastos_Administrativos!A51</f>
        <v>GA-2049</v>
      </c>
    </row>
    <row r="803" spans="1:12" x14ac:dyDescent="0.35">
      <c r="A803" s="65" t="s">
        <v>183</v>
      </c>
      <c r="B803" s="64"/>
      <c r="C803" s="64"/>
      <c r="D803" s="64"/>
      <c r="E803" s="64"/>
      <c r="F803" s="64"/>
      <c r="G803" s="64"/>
      <c r="H803" s="64"/>
      <c r="I803" s="64"/>
      <c r="J803" s="65"/>
      <c r="K803" s="65"/>
      <c r="L803" s="64"/>
    </row>
    <row r="804" spans="1:12" x14ac:dyDescent="0.35">
      <c r="I804" s="67" t="s">
        <v>185</v>
      </c>
      <c r="J804" s="76">
        <f ca="1">SUM(J2:J501)</f>
        <v>1197657769</v>
      </c>
      <c r="K804" s="76">
        <f ca="1">SUM(K2:K501)</f>
        <v>1197657769</v>
      </c>
    </row>
    <row r="805" spans="1:12" x14ac:dyDescent="0.35">
      <c r="I805" s="67" t="s">
        <v>186</v>
      </c>
      <c r="J805" s="76">
        <f ca="1">SUM(J502:J801)</f>
        <v>260668855</v>
      </c>
      <c r="K805" s="76">
        <f ca="1">SUM(K502:K801)</f>
        <v>260668855</v>
      </c>
    </row>
    <row r="806" spans="1:12" x14ac:dyDescent="0.35">
      <c r="I806" s="77" t="s">
        <v>187</v>
      </c>
      <c r="J806" s="78">
        <f ca="1">J804+J805</f>
        <v>1458326624</v>
      </c>
      <c r="K806" s="78">
        <f ca="1">K804+K805</f>
        <v>1458326624</v>
      </c>
    </row>
    <row r="807" spans="1:12" x14ac:dyDescent="0.35">
      <c r="I807" s="67"/>
      <c r="J807" s="76"/>
      <c r="K807" s="76"/>
    </row>
    <row r="808" spans="1:12" x14ac:dyDescent="0.35">
      <c r="I808" s="79" t="s">
        <v>184</v>
      </c>
      <c r="J808" s="80">
        <f ca="1">J806-K806</f>
        <v>0</v>
      </c>
      <c r="K808" s="81" t="s">
        <v>188</v>
      </c>
    </row>
  </sheetData>
  <mergeCells count="1">
    <mergeCell ref="A803:L803"/>
  </mergeCells>
  <pageMargins left="0.7" right="0.7" top="0.75" bottom="0.75" header="0.3" footer="0.3"/>
  <headerFooter>
    <oddFooter>&amp;L_x000D_&amp;1#&amp;"Aptos"&amp;14&amp;K000000 Información Interna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DE94-A05C-40F0-865A-AA41C1834BE9}">
  <dimension ref="A1:E45"/>
  <sheetViews>
    <sheetView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16.36328125" style="16" customWidth="1"/>
    <col min="2" max="2" width="58.1796875" customWidth="1"/>
    <col min="3" max="4" width="18.1796875" customWidth="1"/>
    <col min="5" max="5" width="63.6328125" customWidth="1"/>
  </cols>
  <sheetData>
    <row r="1" spans="1:5" x14ac:dyDescent="0.35">
      <c r="A1" s="82" t="s">
        <v>189</v>
      </c>
      <c r="B1" s="5" t="s">
        <v>190</v>
      </c>
      <c r="C1" s="5" t="s">
        <v>191</v>
      </c>
      <c r="D1" s="5" t="s">
        <v>192</v>
      </c>
      <c r="E1" s="5" t="s">
        <v>193</v>
      </c>
    </row>
    <row r="2" spans="1:5" x14ac:dyDescent="0.35">
      <c r="A2" s="16">
        <v>143505</v>
      </c>
      <c r="B2" t="s">
        <v>194</v>
      </c>
      <c r="C2" t="s">
        <v>195</v>
      </c>
      <c r="D2" t="s">
        <v>196</v>
      </c>
      <c r="E2" t="s">
        <v>197</v>
      </c>
    </row>
    <row r="3" spans="1:5" x14ac:dyDescent="0.35">
      <c r="A3" s="16">
        <v>220505</v>
      </c>
      <c r="B3" t="s">
        <v>198</v>
      </c>
      <c r="C3" t="s">
        <v>199</v>
      </c>
      <c r="D3" t="s">
        <v>200</v>
      </c>
      <c r="E3" t="s">
        <v>201</v>
      </c>
    </row>
    <row r="4" spans="1:5" x14ac:dyDescent="0.35">
      <c r="A4" s="16">
        <v>233525</v>
      </c>
      <c r="B4" t="s">
        <v>202</v>
      </c>
      <c r="C4" t="s">
        <v>199</v>
      </c>
      <c r="D4" t="s">
        <v>200</v>
      </c>
      <c r="E4" t="s">
        <v>203</v>
      </c>
    </row>
    <row r="5" spans="1:5" x14ac:dyDescent="0.35">
      <c r="A5" s="16">
        <v>236515</v>
      </c>
      <c r="B5" t="s">
        <v>204</v>
      </c>
      <c r="C5" t="s">
        <v>199</v>
      </c>
      <c r="D5" t="s">
        <v>200</v>
      </c>
      <c r="E5" t="s">
        <v>205</v>
      </c>
    </row>
    <row r="6" spans="1:5" x14ac:dyDescent="0.35">
      <c r="A6" s="16">
        <v>236525</v>
      </c>
      <c r="B6" t="s">
        <v>206</v>
      </c>
      <c r="C6" t="s">
        <v>199</v>
      </c>
      <c r="D6" t="s">
        <v>200</v>
      </c>
      <c r="E6" t="s">
        <v>207</v>
      </c>
    </row>
    <row r="7" spans="1:5" x14ac:dyDescent="0.35">
      <c r="A7" s="16">
        <v>236530</v>
      </c>
      <c r="B7" t="s">
        <v>208</v>
      </c>
      <c r="C7" t="s">
        <v>199</v>
      </c>
      <c r="D7" t="s">
        <v>200</v>
      </c>
      <c r="E7" t="s">
        <v>209</v>
      </c>
    </row>
    <row r="8" spans="1:5" x14ac:dyDescent="0.35">
      <c r="A8" s="16">
        <v>236535</v>
      </c>
      <c r="B8" t="s">
        <v>210</v>
      </c>
      <c r="C8" t="s">
        <v>199</v>
      </c>
      <c r="D8" t="s">
        <v>200</v>
      </c>
      <c r="E8" t="s">
        <v>211</v>
      </c>
    </row>
    <row r="9" spans="1:5" x14ac:dyDescent="0.35">
      <c r="A9" s="16">
        <v>236540</v>
      </c>
      <c r="B9" t="s">
        <v>212</v>
      </c>
      <c r="C9" t="s">
        <v>199</v>
      </c>
      <c r="D9" t="s">
        <v>200</v>
      </c>
      <c r="E9" t="s">
        <v>213</v>
      </c>
    </row>
    <row r="10" spans="1:5" x14ac:dyDescent="0.35">
      <c r="A10" s="16">
        <v>236570</v>
      </c>
      <c r="B10" t="s">
        <v>214</v>
      </c>
      <c r="C10" t="s">
        <v>199</v>
      </c>
      <c r="D10" t="s">
        <v>200</v>
      </c>
      <c r="E10" t="s">
        <v>215</v>
      </c>
    </row>
    <row r="11" spans="1:5" x14ac:dyDescent="0.35">
      <c r="A11" s="16">
        <v>236701</v>
      </c>
      <c r="B11" t="s">
        <v>216</v>
      </c>
      <c r="C11" t="s">
        <v>199</v>
      </c>
      <c r="D11" t="s">
        <v>200</v>
      </c>
      <c r="E11" t="s">
        <v>217</v>
      </c>
    </row>
    <row r="12" spans="1:5" x14ac:dyDescent="0.35">
      <c r="A12" s="16">
        <v>236805</v>
      </c>
      <c r="B12" t="s">
        <v>218</v>
      </c>
      <c r="C12" t="s">
        <v>199</v>
      </c>
      <c r="D12" t="s">
        <v>200</v>
      </c>
      <c r="E12" t="s">
        <v>219</v>
      </c>
    </row>
    <row r="13" spans="1:5" x14ac:dyDescent="0.35">
      <c r="A13" s="16">
        <v>240805</v>
      </c>
      <c r="B13" t="s">
        <v>220</v>
      </c>
      <c r="C13" t="s">
        <v>199</v>
      </c>
      <c r="D13" t="s">
        <v>196</v>
      </c>
      <c r="E13" t="s">
        <v>221</v>
      </c>
    </row>
    <row r="14" spans="1:5" x14ac:dyDescent="0.35">
      <c r="A14" s="16">
        <v>240810</v>
      </c>
      <c r="B14" t="s">
        <v>222</v>
      </c>
      <c r="C14" t="s">
        <v>199</v>
      </c>
      <c r="D14" t="s">
        <v>196</v>
      </c>
      <c r="E14" t="s">
        <v>223</v>
      </c>
    </row>
    <row r="15" spans="1:5" x14ac:dyDescent="0.35">
      <c r="A15" s="16">
        <v>510569</v>
      </c>
      <c r="B15" t="s">
        <v>224</v>
      </c>
      <c r="C15" t="s">
        <v>225</v>
      </c>
      <c r="D15" t="s">
        <v>196</v>
      </c>
      <c r="E15" t="s">
        <v>226</v>
      </c>
    </row>
    <row r="16" spans="1:5" x14ac:dyDescent="0.35">
      <c r="A16" s="16">
        <v>510585</v>
      </c>
      <c r="B16" t="s">
        <v>227</v>
      </c>
      <c r="C16" t="s">
        <v>225</v>
      </c>
      <c r="D16" t="s">
        <v>196</v>
      </c>
      <c r="E16" t="s">
        <v>228</v>
      </c>
    </row>
    <row r="17" spans="1:5" x14ac:dyDescent="0.35">
      <c r="A17" s="16">
        <v>511005</v>
      </c>
      <c r="B17" t="s">
        <v>70</v>
      </c>
      <c r="C17" t="s">
        <v>225</v>
      </c>
      <c r="D17" t="s">
        <v>196</v>
      </c>
      <c r="E17" t="s">
        <v>229</v>
      </c>
    </row>
    <row r="18" spans="1:5" x14ac:dyDescent="0.35">
      <c r="A18" s="16">
        <v>511510</v>
      </c>
      <c r="B18" t="s">
        <v>101</v>
      </c>
      <c r="C18" t="s">
        <v>225</v>
      </c>
      <c r="D18" t="s">
        <v>196</v>
      </c>
      <c r="E18" t="s">
        <v>230</v>
      </c>
    </row>
    <row r="19" spans="1:5" x14ac:dyDescent="0.35">
      <c r="A19" s="16">
        <v>512010</v>
      </c>
      <c r="B19" t="s">
        <v>63</v>
      </c>
      <c r="C19" t="s">
        <v>225</v>
      </c>
      <c r="D19" t="s">
        <v>196</v>
      </c>
      <c r="E19" t="s">
        <v>62</v>
      </c>
    </row>
    <row r="20" spans="1:5" x14ac:dyDescent="0.35">
      <c r="A20" s="16">
        <v>513025</v>
      </c>
      <c r="B20" t="s">
        <v>99</v>
      </c>
      <c r="C20" t="s">
        <v>225</v>
      </c>
      <c r="D20" t="s">
        <v>196</v>
      </c>
      <c r="E20" t="s">
        <v>231</v>
      </c>
    </row>
    <row r="21" spans="1:5" x14ac:dyDescent="0.35">
      <c r="A21" s="16">
        <v>513525</v>
      </c>
      <c r="B21" t="s">
        <v>232</v>
      </c>
      <c r="C21" t="s">
        <v>225</v>
      </c>
      <c r="D21" t="s">
        <v>196</v>
      </c>
      <c r="E21" t="s">
        <v>233</v>
      </c>
    </row>
    <row r="22" spans="1:5" x14ac:dyDescent="0.35">
      <c r="A22" s="16">
        <v>513550</v>
      </c>
      <c r="B22" t="s">
        <v>234</v>
      </c>
      <c r="C22" t="s">
        <v>225</v>
      </c>
      <c r="D22" t="s">
        <v>196</v>
      </c>
      <c r="E22" t="s">
        <v>235</v>
      </c>
    </row>
    <row r="23" spans="1:5" x14ac:dyDescent="0.35">
      <c r="A23" s="16">
        <v>514005</v>
      </c>
      <c r="B23" t="s">
        <v>236</v>
      </c>
      <c r="C23" t="s">
        <v>225</v>
      </c>
      <c r="D23" t="s">
        <v>196</v>
      </c>
      <c r="E23" t="s">
        <v>237</v>
      </c>
    </row>
    <row r="24" spans="1:5" x14ac:dyDescent="0.35">
      <c r="A24" s="16">
        <v>514505</v>
      </c>
      <c r="B24" t="s">
        <v>238</v>
      </c>
      <c r="C24" t="s">
        <v>225</v>
      </c>
      <c r="D24" t="s">
        <v>196</v>
      </c>
      <c r="E24" t="s">
        <v>239</v>
      </c>
    </row>
    <row r="25" spans="1:5" x14ac:dyDescent="0.35">
      <c r="A25" s="16">
        <v>514515</v>
      </c>
      <c r="B25" t="s">
        <v>240</v>
      </c>
      <c r="C25" t="s">
        <v>225</v>
      </c>
      <c r="D25" t="s">
        <v>196</v>
      </c>
      <c r="E25" t="s">
        <v>241</v>
      </c>
    </row>
    <row r="26" spans="1:5" x14ac:dyDescent="0.35">
      <c r="A26" s="16">
        <v>519525</v>
      </c>
      <c r="B26" t="s">
        <v>242</v>
      </c>
      <c r="C26" t="s">
        <v>225</v>
      </c>
      <c r="D26" t="s">
        <v>196</v>
      </c>
      <c r="E26" t="s">
        <v>243</v>
      </c>
    </row>
    <row r="27" spans="1:5" x14ac:dyDescent="0.35">
      <c r="A27" s="16">
        <v>523510</v>
      </c>
      <c r="B27" t="s">
        <v>236</v>
      </c>
      <c r="C27" t="s">
        <v>225</v>
      </c>
      <c r="D27" t="s">
        <v>196</v>
      </c>
      <c r="E27" t="s">
        <v>244</v>
      </c>
    </row>
    <row r="28" spans="1:5" x14ac:dyDescent="0.35">
      <c r="A28" s="16">
        <v>530525</v>
      </c>
      <c r="B28" t="s">
        <v>245</v>
      </c>
      <c r="C28" t="s">
        <v>225</v>
      </c>
      <c r="D28" t="s">
        <v>196</v>
      </c>
      <c r="E28" t="s">
        <v>246</v>
      </c>
    </row>
    <row r="31" spans="1:5" x14ac:dyDescent="0.35">
      <c r="A31" s="83" t="s">
        <v>247</v>
      </c>
      <c r="B31" s="83"/>
      <c r="C31" s="83"/>
      <c r="D31" s="83"/>
      <c r="E31" s="83"/>
    </row>
    <row r="32" spans="1:5" x14ac:dyDescent="0.35">
      <c r="A32" s="84" t="s">
        <v>248</v>
      </c>
      <c r="B32" s="85" t="s">
        <v>249</v>
      </c>
      <c r="C32" s="85" t="s">
        <v>250</v>
      </c>
      <c r="D32" s="85" t="s">
        <v>251</v>
      </c>
      <c r="E32" s="85" t="s">
        <v>252</v>
      </c>
    </row>
    <row r="33" spans="1:5" x14ac:dyDescent="0.35">
      <c r="A33" s="16" t="s">
        <v>253</v>
      </c>
      <c r="B33" t="s">
        <v>254</v>
      </c>
      <c r="C33" t="s">
        <v>255</v>
      </c>
      <c r="D33" t="s">
        <v>256</v>
      </c>
      <c r="E33" t="s">
        <v>257</v>
      </c>
    </row>
    <row r="34" spans="1:5" x14ac:dyDescent="0.35">
      <c r="A34" s="16" t="s">
        <v>258</v>
      </c>
      <c r="B34" t="s">
        <v>259</v>
      </c>
      <c r="C34" t="s">
        <v>255</v>
      </c>
      <c r="D34" t="s">
        <v>260</v>
      </c>
      <c r="E34" t="s">
        <v>257</v>
      </c>
    </row>
    <row r="35" spans="1:5" x14ac:dyDescent="0.35">
      <c r="A35" s="16" t="s">
        <v>261</v>
      </c>
      <c r="B35" t="s">
        <v>262</v>
      </c>
      <c r="C35" t="s">
        <v>255</v>
      </c>
      <c r="D35" t="s">
        <v>263</v>
      </c>
      <c r="E35" t="s">
        <v>257</v>
      </c>
    </row>
    <row r="36" spans="1:5" x14ac:dyDescent="0.35">
      <c r="A36" s="16" t="s">
        <v>264</v>
      </c>
      <c r="B36" t="s">
        <v>161</v>
      </c>
      <c r="C36" t="s">
        <v>265</v>
      </c>
      <c r="D36" t="s">
        <v>266</v>
      </c>
      <c r="E36" t="s">
        <v>267</v>
      </c>
    </row>
    <row r="37" spans="1:5" x14ac:dyDescent="0.35">
      <c r="A37" s="16" t="s">
        <v>268</v>
      </c>
      <c r="B37" t="s">
        <v>162</v>
      </c>
      <c r="C37" t="s">
        <v>269</v>
      </c>
      <c r="D37" t="s">
        <v>270</v>
      </c>
      <c r="E37" t="s">
        <v>271</v>
      </c>
    </row>
    <row r="38" spans="1:5" x14ac:dyDescent="0.35">
      <c r="A38" s="16" t="s">
        <v>272</v>
      </c>
      <c r="B38" t="s">
        <v>163</v>
      </c>
      <c r="C38" t="s">
        <v>164</v>
      </c>
      <c r="D38" t="s">
        <v>273</v>
      </c>
      <c r="E38" t="s">
        <v>274</v>
      </c>
    </row>
    <row r="39" spans="1:5" x14ac:dyDescent="0.35">
      <c r="A39" s="16" t="s">
        <v>275</v>
      </c>
      <c r="B39" t="s">
        <v>164</v>
      </c>
      <c r="C39" t="s">
        <v>164</v>
      </c>
      <c r="D39" t="s">
        <v>276</v>
      </c>
      <c r="E39" t="s">
        <v>277</v>
      </c>
    </row>
    <row r="40" spans="1:5" x14ac:dyDescent="0.35">
      <c r="A40" s="16" t="s">
        <v>278</v>
      </c>
      <c r="B40" t="s">
        <v>165</v>
      </c>
      <c r="C40" t="s">
        <v>279</v>
      </c>
      <c r="D40" t="s">
        <v>280</v>
      </c>
      <c r="E40" t="s">
        <v>281</v>
      </c>
    </row>
    <row r="42" spans="1:5" x14ac:dyDescent="0.35">
      <c r="A42" s="83" t="s">
        <v>282</v>
      </c>
      <c r="B42" s="83"/>
      <c r="C42" s="83"/>
      <c r="D42" s="83"/>
      <c r="E42" s="83"/>
    </row>
    <row r="43" spans="1:5" x14ac:dyDescent="0.35">
      <c r="A43" s="84" t="s">
        <v>283</v>
      </c>
      <c r="B43" s="85" t="s">
        <v>284</v>
      </c>
      <c r="C43" s="85" t="s">
        <v>285</v>
      </c>
      <c r="D43" s="85" t="s">
        <v>286</v>
      </c>
      <c r="E43" s="85"/>
    </row>
    <row r="44" spans="1:5" x14ac:dyDescent="0.35">
      <c r="A44" s="16" t="s">
        <v>287</v>
      </c>
      <c r="B44" t="s">
        <v>288</v>
      </c>
      <c r="C44" t="s">
        <v>289</v>
      </c>
      <c r="D44" t="s">
        <v>290</v>
      </c>
    </row>
    <row r="45" spans="1:5" x14ac:dyDescent="0.35">
      <c r="A45" s="16" t="s">
        <v>291</v>
      </c>
      <c r="B45" t="s">
        <v>292</v>
      </c>
      <c r="C45" t="s">
        <v>293</v>
      </c>
      <c r="D45" t="s">
        <v>294</v>
      </c>
    </row>
  </sheetData>
  <mergeCells count="2">
    <mergeCell ref="A31:E31"/>
    <mergeCell ref="A42:E42"/>
  </mergeCells>
  <pageMargins left="0.7" right="0.7" top="0.75" bottom="0.75" header="0.3" footer="0.3"/>
  <headerFooter>
    <oddFooter>&amp;L_x000D_&amp;1#&amp;"Aptos"&amp;14&amp;K000000 Información Interna</oddFooter>
  </headerFooter>
</worksheet>
</file>

<file path=docMetadata/LabelInfo.xml><?xml version="1.0" encoding="utf-8"?>
<clbl:labelList xmlns:clbl="http://schemas.microsoft.com/office/2020/mipLabelMetadata">
  <clbl:label id="{d37cf70c-1091-499f-b577-72ba042c00d1}" enabled="1" method="Standard" siteId="{c980e410-0b5c-48bc-bd1a-8b91cabc84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mercancia</vt:lpstr>
      <vt:lpstr>Hoja2</vt:lpstr>
      <vt:lpstr>Gastos_Administrativos</vt:lpstr>
      <vt:lpstr>Contabilizacion</vt:lpstr>
      <vt:lpstr>Plan_de_Cuentas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EDUARDO GUERRERO BUENDIA</dc:creator>
  <cp:lastModifiedBy>JAVIER EDUARDO GUERRERO BUENDIA</cp:lastModifiedBy>
  <dcterms:created xsi:type="dcterms:W3CDTF">2026-05-03T02:02:07Z</dcterms:created>
  <dcterms:modified xsi:type="dcterms:W3CDTF">2026-05-03T03:09:09Z</dcterms:modified>
</cp:coreProperties>
</file>